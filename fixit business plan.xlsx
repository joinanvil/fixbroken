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ak/fixbroken/"/>
    </mc:Choice>
  </mc:AlternateContent>
  <xr:revisionPtr revIDLastSave="0" documentId="8_{E22C364F-E179-F047-BAF6-CE2C529B4FAE}" xr6:coauthVersionLast="47" xr6:coauthVersionMax="47" xr10:uidLastSave="{00000000-0000-0000-0000-000000000000}"/>
  <bookViews>
    <workbookView xWindow="0" yWindow="760" windowWidth="30240" windowHeight="17180" xr2:uid="{51658058-8315-A640-B733-1DFC39D6EEC8}"/>
  </bookViews>
  <sheets>
    <sheet name="Assumptions" sheetId="1" r:id="rId1"/>
    <sheet name="Revenue Model" sheetId="2" r:id="rId2"/>
    <sheet name="Cost Structure" sheetId="3" r:id="rId3"/>
    <sheet name="Unit Economics" sheetId="4" r:id="rId4"/>
    <sheet name="P&amp;L 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N4" i="2"/>
  <c r="N18" i="2" s="1"/>
  <c r="N6" i="5" s="1"/>
  <c r="M4" i="2"/>
  <c r="M18" i="2" s="1"/>
  <c r="M6" i="5" s="1"/>
  <c r="L4" i="2"/>
  <c r="L18" i="2" s="1"/>
  <c r="L6" i="5" s="1"/>
  <c r="K4" i="2"/>
  <c r="K18" i="2" s="1"/>
  <c r="K6" i="5" s="1"/>
  <c r="J4" i="2"/>
  <c r="J18" i="2" s="1"/>
  <c r="J6" i="5" s="1"/>
  <c r="I4" i="2"/>
  <c r="I18" i="2" s="1"/>
  <c r="I6" i="5" s="1"/>
  <c r="H4" i="2"/>
  <c r="H18" i="2" s="1"/>
  <c r="H6" i="5" s="1"/>
  <c r="G4" i="2"/>
  <c r="G18" i="2" s="1"/>
  <c r="G6" i="5" s="1"/>
  <c r="F4" i="2"/>
  <c r="F18" i="2" s="1"/>
  <c r="F6" i="5" s="1"/>
  <c r="E4" i="2"/>
  <c r="E18" i="2" s="1"/>
  <c r="E6" i="5" s="1"/>
  <c r="D4" i="2"/>
  <c r="D18" i="2" s="1"/>
  <c r="D6" i="5" s="1"/>
  <c r="C4" i="2"/>
  <c r="C6" i="2" s="1"/>
  <c r="C8" i="2" s="1"/>
  <c r="D5" i="2" s="1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B38" i="1"/>
  <c r="B22" i="1"/>
  <c r="M11" i="5"/>
  <c r="L11" i="5"/>
  <c r="K11" i="5"/>
  <c r="H11" i="5"/>
  <c r="G11" i="5"/>
  <c r="D11" i="5"/>
  <c r="C11" i="5"/>
  <c r="E24" i="4"/>
  <c r="D24" i="4"/>
  <c r="C24" i="4"/>
  <c r="E22" i="4"/>
  <c r="D22" i="4"/>
  <c r="C22" i="4"/>
  <c r="E21" i="4"/>
  <c r="D21" i="4"/>
  <c r="C21" i="4"/>
  <c r="E20" i="4"/>
  <c r="D20" i="4"/>
  <c r="C20" i="4"/>
  <c r="E6" i="4"/>
  <c r="D6" i="4"/>
  <c r="C6" i="4"/>
  <c r="E7" i="4"/>
  <c r="D7" i="4"/>
  <c r="C7" i="4"/>
  <c r="N5" i="3"/>
  <c r="M5" i="3"/>
  <c r="L5" i="3"/>
  <c r="K5" i="3"/>
  <c r="J5" i="3"/>
  <c r="J11" i="5" s="1"/>
  <c r="I5" i="3"/>
  <c r="I11" i="5" s="1"/>
  <c r="H5" i="3"/>
  <c r="G5" i="3"/>
  <c r="F5" i="3"/>
  <c r="F11" i="5" s="1"/>
  <c r="E5" i="3"/>
  <c r="E11" i="5" s="1"/>
  <c r="D5" i="3"/>
  <c r="C5" i="3"/>
  <c r="B49" i="1"/>
  <c r="B50" i="1" s="1"/>
  <c r="B48" i="1"/>
  <c r="B14" i="1"/>
  <c r="C10" i="2" l="1"/>
  <c r="C15" i="2" s="1"/>
  <c r="C26" i="2"/>
  <c r="D6" i="2"/>
  <c r="D8" i="2" s="1"/>
  <c r="E5" i="2" s="1"/>
  <c r="O4" i="2"/>
  <c r="C18" i="2"/>
  <c r="O18" i="2" s="1"/>
  <c r="C20" i="5"/>
  <c r="C20" i="2"/>
  <c r="C8" i="5" s="1"/>
  <c r="C19" i="2"/>
  <c r="C9" i="2"/>
  <c r="C8" i="3"/>
  <c r="C9" i="3"/>
  <c r="N11" i="5"/>
  <c r="O11" i="5" s="1"/>
  <c r="B51" i="1"/>
  <c r="C6" i="5" l="1"/>
  <c r="O6" i="5" s="1"/>
  <c r="C11" i="2"/>
  <c r="C16" i="2" s="1"/>
  <c r="C14" i="2"/>
  <c r="E6" i="2"/>
  <c r="E8" i="2" s="1"/>
  <c r="F5" i="2" s="1"/>
  <c r="D26" i="2"/>
  <c r="C7" i="5"/>
  <c r="D8" i="3"/>
  <c r="D9" i="3"/>
  <c r="D19" i="2"/>
  <c r="D7" i="5" s="1"/>
  <c r="D20" i="5"/>
  <c r="D20" i="2"/>
  <c r="D8" i="5" s="1"/>
  <c r="D10" i="2"/>
  <c r="D15" i="2" s="1"/>
  <c r="D9" i="2"/>
  <c r="C10" i="3" l="1"/>
  <c r="C12" i="3" s="1"/>
  <c r="C13" i="3" s="1"/>
  <c r="C16" i="3" s="1"/>
  <c r="C17" i="2"/>
  <c r="C5" i="5" s="1"/>
  <c r="C21" i="5" s="1"/>
  <c r="E26" i="2"/>
  <c r="E9" i="3"/>
  <c r="E19" i="2"/>
  <c r="E7" i="5" s="1"/>
  <c r="E10" i="2"/>
  <c r="E15" i="2" s="1"/>
  <c r="E20" i="2"/>
  <c r="E8" i="5" s="1"/>
  <c r="E20" i="5"/>
  <c r="E9" i="2"/>
  <c r="E8" i="3"/>
  <c r="D14" i="2"/>
  <c r="D11" i="2"/>
  <c r="D16" i="2" s="1"/>
  <c r="C14" i="3" l="1"/>
  <c r="C23" i="2"/>
  <c r="C11" i="3"/>
  <c r="C21" i="2"/>
  <c r="C4" i="5" s="1"/>
  <c r="C22" i="5" s="1"/>
  <c r="E11" i="2"/>
  <c r="E16" i="2" s="1"/>
  <c r="F6" i="2"/>
  <c r="D10" i="3"/>
  <c r="D12" i="3" s="1"/>
  <c r="C12" i="5"/>
  <c r="E14" i="2"/>
  <c r="E17" i="2" s="1"/>
  <c r="E10" i="3"/>
  <c r="D17" i="2"/>
  <c r="C18" i="3" l="1"/>
  <c r="D11" i="3"/>
  <c r="F8" i="2"/>
  <c r="G5" i="2" s="1"/>
  <c r="D14" i="3"/>
  <c r="D13" i="3"/>
  <c r="D16" i="3" s="1"/>
  <c r="D21" i="2"/>
  <c r="D5" i="5"/>
  <c r="D23" i="2"/>
  <c r="E11" i="3"/>
  <c r="E12" i="3"/>
  <c r="E21" i="2"/>
  <c r="E5" i="5"/>
  <c r="E21" i="5" s="1"/>
  <c r="E23" i="2"/>
  <c r="C13" i="5" l="1"/>
  <c r="C21" i="3"/>
  <c r="D21" i="5"/>
  <c r="F9" i="3"/>
  <c r="F9" i="2"/>
  <c r="F19" i="2"/>
  <c r="F8" i="3"/>
  <c r="F10" i="2"/>
  <c r="F15" i="2" s="1"/>
  <c r="F20" i="5"/>
  <c r="F20" i="2"/>
  <c r="D18" i="3"/>
  <c r="D13" i="5" s="1"/>
  <c r="D4" i="5"/>
  <c r="E4" i="5"/>
  <c r="E18" i="3"/>
  <c r="E13" i="5" s="1"/>
  <c r="E13" i="3"/>
  <c r="E16" i="3" s="1"/>
  <c r="E14" i="3"/>
  <c r="D12" i="5"/>
  <c r="C10" i="5" l="1"/>
  <c r="C15" i="5" s="1"/>
  <c r="C16" i="5" s="1"/>
  <c r="C22" i="3"/>
  <c r="F8" i="5"/>
  <c r="D22" i="5"/>
  <c r="E22" i="5" s="1"/>
  <c r="G6" i="2"/>
  <c r="F7" i="5"/>
  <c r="F14" i="2"/>
  <c r="F11" i="2"/>
  <c r="C19" i="5"/>
  <c r="D21" i="3"/>
  <c r="E12" i="5"/>
  <c r="E21" i="3"/>
  <c r="E10" i="5" s="1"/>
  <c r="E15" i="5" s="1"/>
  <c r="E16" i="5" s="1"/>
  <c r="G8" i="2" l="1"/>
  <c r="H5" i="2" s="1"/>
  <c r="F16" i="2"/>
  <c r="F17" i="2" s="1"/>
  <c r="F10" i="3"/>
  <c r="D10" i="5"/>
  <c r="D22" i="3"/>
  <c r="E22" i="3" s="1"/>
  <c r="G26" i="2" l="1"/>
  <c r="D15" i="5"/>
  <c r="D19" i="5" s="1"/>
  <c r="E19" i="5" s="1"/>
  <c r="F23" i="2"/>
  <c r="F21" i="2"/>
  <c r="F5" i="5"/>
  <c r="F11" i="3"/>
  <c r="F12" i="3"/>
  <c r="G20" i="2"/>
  <c r="G19" i="2"/>
  <c r="G20" i="5"/>
  <c r="G9" i="3"/>
  <c r="G9" i="2"/>
  <c r="G10" i="2"/>
  <c r="G15" i="2" s="1"/>
  <c r="G8" i="3"/>
  <c r="G11" i="2" l="1"/>
  <c r="G16" i="2" s="1"/>
  <c r="F4" i="5"/>
  <c r="F18" i="3"/>
  <c r="F13" i="5" s="1"/>
  <c r="G14" i="2"/>
  <c r="H6" i="2"/>
  <c r="G7" i="5"/>
  <c r="G8" i="5"/>
  <c r="F13" i="3"/>
  <c r="F16" i="3" s="1"/>
  <c r="F14" i="3"/>
  <c r="F21" i="5"/>
  <c r="D16" i="5"/>
  <c r="G10" i="3" l="1"/>
  <c r="G12" i="3" s="1"/>
  <c r="G17" i="2"/>
  <c r="F12" i="5"/>
  <c r="F21" i="3"/>
  <c r="H8" i="2"/>
  <c r="I5" i="2" s="1"/>
  <c r="G21" i="2"/>
  <c r="G5" i="5"/>
  <c r="G23" i="2"/>
  <c r="F22" i="5"/>
  <c r="G11" i="3" l="1"/>
  <c r="H26" i="2"/>
  <c r="G21" i="5"/>
  <c r="G18" i="3"/>
  <c r="G13" i="5" s="1"/>
  <c r="G4" i="5"/>
  <c r="G13" i="3"/>
  <c r="G16" i="3" s="1"/>
  <c r="G14" i="3"/>
  <c r="H9" i="3"/>
  <c r="H20" i="5"/>
  <c r="H9" i="2"/>
  <c r="H8" i="3"/>
  <c r="H10" i="2"/>
  <c r="H15" i="2" s="1"/>
  <c r="H19" i="2"/>
  <c r="H20" i="2"/>
  <c r="H8" i="5" s="1"/>
  <c r="F10" i="5"/>
  <c r="F22" i="3"/>
  <c r="H14" i="2" l="1"/>
  <c r="H7" i="5"/>
  <c r="G12" i="5"/>
  <c r="G21" i="3"/>
  <c r="G10" i="5" s="1"/>
  <c r="G15" i="5" s="1"/>
  <c r="G16" i="5" s="1"/>
  <c r="F15" i="5"/>
  <c r="H11" i="2"/>
  <c r="H16" i="2" s="1"/>
  <c r="I6" i="2"/>
  <c r="G22" i="5"/>
  <c r="G22" i="3" l="1"/>
  <c r="I8" i="2"/>
  <c r="J5" i="2" s="1"/>
  <c r="F16" i="5"/>
  <c r="F19" i="5"/>
  <c r="G19" i="5" s="1"/>
  <c r="H10" i="3"/>
  <c r="H17" i="2"/>
  <c r="J6" i="2" l="1"/>
  <c r="J8" i="2" s="1"/>
  <c r="K5" i="2" s="1"/>
  <c r="I26" i="2"/>
  <c r="H21" i="2"/>
  <c r="H5" i="5"/>
  <c r="H23" i="2"/>
  <c r="I20" i="2"/>
  <c r="I8" i="5" s="1"/>
  <c r="I20" i="5"/>
  <c r="I9" i="3"/>
  <c r="I9" i="2"/>
  <c r="I8" i="3"/>
  <c r="I10" i="2"/>
  <c r="I15" i="2" s="1"/>
  <c r="I19" i="2"/>
  <c r="I7" i="5" s="1"/>
  <c r="H12" i="3"/>
  <c r="H11" i="3"/>
  <c r="K6" i="2" l="1"/>
  <c r="K8" i="2" s="1"/>
  <c r="L5" i="2" s="1"/>
  <c r="J26" i="2"/>
  <c r="I11" i="2"/>
  <c r="I16" i="2" s="1"/>
  <c r="I14" i="2"/>
  <c r="H21" i="5"/>
  <c r="H13" i="3"/>
  <c r="H16" i="3" s="1"/>
  <c r="H14" i="3"/>
  <c r="J20" i="2"/>
  <c r="J8" i="5" s="1"/>
  <c r="J9" i="2"/>
  <c r="J8" i="3"/>
  <c r="J10" i="2"/>
  <c r="J15" i="2" s="1"/>
  <c r="J20" i="5"/>
  <c r="J19" i="2"/>
  <c r="J7" i="5" s="1"/>
  <c r="J9" i="3"/>
  <c r="H18" i="3"/>
  <c r="H13" i="5" s="1"/>
  <c r="H4" i="5"/>
  <c r="I10" i="3" l="1"/>
  <c r="L6" i="2"/>
  <c r="L8" i="2" s="1"/>
  <c r="M5" i="2" s="1"/>
  <c r="K26" i="2"/>
  <c r="I17" i="2"/>
  <c r="I21" i="2" s="1"/>
  <c r="J11" i="2"/>
  <c r="J16" i="2" s="1"/>
  <c r="J14" i="2"/>
  <c r="H21" i="3"/>
  <c r="H12" i="5"/>
  <c r="H22" i="5"/>
  <c r="I11" i="3"/>
  <c r="I12" i="3"/>
  <c r="K9" i="2"/>
  <c r="K8" i="3"/>
  <c r="K10" i="2"/>
  <c r="K15" i="2" s="1"/>
  <c r="K9" i="3"/>
  <c r="K19" i="2"/>
  <c r="K7" i="5" s="1"/>
  <c r="K20" i="2"/>
  <c r="K8" i="5" s="1"/>
  <c r="K20" i="5"/>
  <c r="M6" i="2" l="1"/>
  <c r="M8" i="2" s="1"/>
  <c r="N5" i="2" s="1"/>
  <c r="L26" i="2"/>
  <c r="I5" i="5"/>
  <c r="I21" i="5" s="1"/>
  <c r="I23" i="2"/>
  <c r="J10" i="3"/>
  <c r="J12" i="3" s="1"/>
  <c r="J17" i="2"/>
  <c r="J21" i="2" s="1"/>
  <c r="K14" i="2"/>
  <c r="I14" i="3"/>
  <c r="I13" i="3"/>
  <c r="I16" i="3" s="1"/>
  <c r="I18" i="3"/>
  <c r="I13" i="5" s="1"/>
  <c r="I4" i="5"/>
  <c r="I22" i="5" s="1"/>
  <c r="K11" i="2"/>
  <c r="K16" i="2" s="1"/>
  <c r="H10" i="5"/>
  <c r="H22" i="3"/>
  <c r="L19" i="2"/>
  <c r="L7" i="5" s="1"/>
  <c r="L20" i="2"/>
  <c r="L8" i="5" s="1"/>
  <c r="L9" i="2"/>
  <c r="L8" i="3"/>
  <c r="L10" i="2"/>
  <c r="L15" i="2" s="1"/>
  <c r="L9" i="3"/>
  <c r="L20" i="5"/>
  <c r="J23" i="2" l="1"/>
  <c r="J5" i="5"/>
  <c r="J21" i="5" s="1"/>
  <c r="M26" i="2"/>
  <c r="J11" i="3"/>
  <c r="L11" i="2"/>
  <c r="L16" i="2" s="1"/>
  <c r="J13" i="3"/>
  <c r="J16" i="3" s="1"/>
  <c r="J14" i="3"/>
  <c r="M20" i="5"/>
  <c r="M20" i="2"/>
  <c r="M8" i="5" s="1"/>
  <c r="M9" i="2"/>
  <c r="M8" i="3"/>
  <c r="M10" i="2"/>
  <c r="M15" i="2" s="1"/>
  <c r="M9" i="3"/>
  <c r="M19" i="2"/>
  <c r="M7" i="5" s="1"/>
  <c r="H15" i="5"/>
  <c r="K10" i="3"/>
  <c r="J4" i="5"/>
  <c r="J22" i="5" s="1"/>
  <c r="J18" i="3"/>
  <c r="J13" i="5" s="1"/>
  <c r="I12" i="5"/>
  <c r="I21" i="3"/>
  <c r="I10" i="5" s="1"/>
  <c r="I15" i="5" s="1"/>
  <c r="I16" i="5" s="1"/>
  <c r="L14" i="2"/>
  <c r="K17" i="2"/>
  <c r="L17" i="2" l="1"/>
  <c r="L5" i="5" s="1"/>
  <c r="L21" i="5" s="1"/>
  <c r="L10" i="3"/>
  <c r="L11" i="3" s="1"/>
  <c r="M11" i="2"/>
  <c r="M16" i="2" s="1"/>
  <c r="N6" i="2"/>
  <c r="O5" i="2"/>
  <c r="K21" i="2"/>
  <c r="K23" i="2"/>
  <c r="K5" i="5"/>
  <c r="K21" i="5" s="1"/>
  <c r="H16" i="5"/>
  <c r="H19" i="5"/>
  <c r="I19" i="5" s="1"/>
  <c r="M14" i="2"/>
  <c r="I22" i="3"/>
  <c r="K12" i="3"/>
  <c r="K11" i="3"/>
  <c r="J12" i="5"/>
  <c r="J21" i="3"/>
  <c r="J10" i="5" s="1"/>
  <c r="L21" i="2" l="1"/>
  <c r="L23" i="2"/>
  <c r="L12" i="3"/>
  <c r="L13" i="3" s="1"/>
  <c r="L16" i="3" s="1"/>
  <c r="M10" i="3"/>
  <c r="M11" i="3" s="1"/>
  <c r="M17" i="2"/>
  <c r="M23" i="2" s="1"/>
  <c r="L4" i="5"/>
  <c r="L18" i="3"/>
  <c r="L13" i="5" s="1"/>
  <c r="J15" i="5"/>
  <c r="K18" i="3"/>
  <c r="K13" i="5" s="1"/>
  <c r="K4" i="5"/>
  <c r="K22" i="5" s="1"/>
  <c r="K13" i="3"/>
  <c r="K16" i="3" s="1"/>
  <c r="K14" i="3"/>
  <c r="J22" i="3"/>
  <c r="N8" i="2"/>
  <c r="N26" i="2" s="1"/>
  <c r="O6" i="2"/>
  <c r="M5" i="5" l="1"/>
  <c r="M21" i="5" s="1"/>
  <c r="L14" i="3"/>
  <c r="M12" i="3"/>
  <c r="M14" i="3" s="1"/>
  <c r="M21" i="2"/>
  <c r="M18" i="3" s="1"/>
  <c r="M13" i="5" s="1"/>
  <c r="K21" i="3"/>
  <c r="K10" i="5" s="1"/>
  <c r="K15" i="5" s="1"/>
  <c r="K16" i="5" s="1"/>
  <c r="K12" i="5"/>
  <c r="J16" i="5"/>
  <c r="J19" i="5"/>
  <c r="L12" i="5"/>
  <c r="L21" i="3"/>
  <c r="L10" i="5" s="1"/>
  <c r="L15" i="5" s="1"/>
  <c r="L16" i="5" s="1"/>
  <c r="N10" i="2"/>
  <c r="N15" i="2" s="1"/>
  <c r="N20" i="5"/>
  <c r="N20" i="2"/>
  <c r="N8" i="3"/>
  <c r="N9" i="3"/>
  <c r="N19" i="2"/>
  <c r="N9" i="2"/>
  <c r="L22" i="5"/>
  <c r="M4" i="5" l="1"/>
  <c r="M22" i="5" s="1"/>
  <c r="M13" i="3"/>
  <c r="M16" i="3" s="1"/>
  <c r="K19" i="5"/>
  <c r="L19" i="5" s="1"/>
  <c r="N11" i="2"/>
  <c r="N16" i="2" s="1"/>
  <c r="N14" i="2"/>
  <c r="K22" i="3"/>
  <c r="L22" i="3" s="1"/>
  <c r="M12" i="5"/>
  <c r="M21" i="3"/>
  <c r="M10" i="5" s="1"/>
  <c r="M15" i="5" s="1"/>
  <c r="M16" i="5" s="1"/>
  <c r="N7" i="5"/>
  <c r="O7" i="5" s="1"/>
  <c r="O19" i="2"/>
  <c r="N8" i="5"/>
  <c r="O8" i="5" s="1"/>
  <c r="O20" i="2"/>
  <c r="N10" i="3" l="1"/>
  <c r="N11" i="3" s="1"/>
  <c r="N17" i="2"/>
  <c r="N21" i="2" s="1"/>
  <c r="M22" i="3"/>
  <c r="M19" i="5"/>
  <c r="N23" i="2" l="1"/>
  <c r="N5" i="5"/>
  <c r="N21" i="5" s="1"/>
  <c r="O17" i="2"/>
  <c r="N12" i="3"/>
  <c r="N14" i="3" s="1"/>
  <c r="O21" i="2"/>
  <c r="N4" i="5"/>
  <c r="N18" i="3"/>
  <c r="N13" i="5" s="1"/>
  <c r="O13" i="5" s="1"/>
  <c r="O5" i="5" l="1"/>
  <c r="N13" i="3"/>
  <c r="N16" i="3" s="1"/>
  <c r="N21" i="3" s="1"/>
  <c r="N22" i="5"/>
  <c r="O4" i="5"/>
  <c r="N12" i="5" l="1"/>
  <c r="O12" i="5" s="1"/>
  <c r="N10" i="5"/>
  <c r="N22" i="3"/>
  <c r="N15" i="5" l="1"/>
  <c r="O10" i="5"/>
  <c r="N16" i="5" l="1"/>
  <c r="O15" i="5"/>
  <c r="O16" i="5" s="1"/>
  <c r="N19" i="5"/>
</calcChain>
</file>

<file path=xl/sharedStrings.xml><?xml version="1.0" encoding="utf-8"?>
<sst xmlns="http://schemas.openxmlformats.org/spreadsheetml/2006/main" count="277" uniqueCount="164">
  <si>
    <t>AI-ENABLED CLOUD &amp; DEVOPS AGENCY MODEL</t>
  </si>
  <si>
    <t>Target: $1M ARR in 12 Months</t>
  </si>
  <si>
    <t>PRICING &amp; TIERS</t>
  </si>
  <si>
    <t>Simple Tier - Monthly Price</t>
  </si>
  <si>
    <t>Editable assumption</t>
  </si>
  <si>
    <t>Standard Tier - Monthly Price</t>
  </si>
  <si>
    <t>Complex Tier - Monthly Price</t>
  </si>
  <si>
    <t>Onboarding Fee (one-time)</t>
  </si>
  <si>
    <t>Client Distribution %</t>
  </si>
  <si>
    <t xml:space="preserve">  Simple Tier %</t>
  </si>
  <si>
    <t xml:space="preserve">  Standard Tier %</t>
  </si>
  <si>
    <t xml:space="preserve">  Complex Tier %</t>
  </si>
  <si>
    <t xml:space="preserve">  Distribution Check</t>
  </si>
  <si>
    <t>UPSELL &amp; EMERGENCY</t>
  </si>
  <si>
    <t>Emergency Incident Fee (avg)</t>
  </si>
  <si>
    <t>$100-$150 range per SLA</t>
  </si>
  <si>
    <t>% Clients w/ Emergency/mo</t>
  </si>
  <si>
    <t>Product Break-Fix Fee (avg)</t>
  </si>
  <si>
    <t>% Clients w/ Product Issue/mo</t>
  </si>
  <si>
    <t>Blended Upsell per Client/mo</t>
  </si>
  <si>
    <t>Auto-calculated</t>
  </si>
  <si>
    <t>COST ASSUMPTIONS</t>
  </si>
  <si>
    <t>Eng Hourly Cost</t>
  </si>
  <si>
    <t>Cloud Cost per Client/mo</t>
  </si>
  <si>
    <t>DB, servers, etc.</t>
  </si>
  <si>
    <t>AI Token Cost per Client/mo</t>
  </si>
  <si>
    <t>Monitoring + debugging agent</t>
  </si>
  <si>
    <t>Team Burn (Fixed Monthly)</t>
  </si>
  <si>
    <t>Salaries, overhead, etc.</t>
  </si>
  <si>
    <t>S&amp;M as % of Revenue</t>
  </si>
  <si>
    <t>On top of team burn</t>
  </si>
  <si>
    <t>Human Hours per Client/mo</t>
  </si>
  <si>
    <t xml:space="preserve">  Simple Tier</t>
  </si>
  <si>
    <t>hrs/mo - AI handles ~90%</t>
  </si>
  <si>
    <t xml:space="preserve">  Standard Tier</t>
  </si>
  <si>
    <t>hrs/mo - AI handles ~75%</t>
  </si>
  <si>
    <t xml:space="preserve">  Complex Tier</t>
  </si>
  <si>
    <t>hrs/mo - AI handles ~60%</t>
  </si>
  <si>
    <t xml:space="preserve">  Onboarding (one-time)</t>
  </si>
  <si>
    <t>hrs - AI agent does heavy lifting</t>
  </si>
  <si>
    <t xml:space="preserve">  Emergency Incident</t>
  </si>
  <si>
    <t>hrs per incident avg</t>
  </si>
  <si>
    <t>GROWTH ASSUMPTIONS</t>
  </si>
  <si>
    <t>Monthly Churn Rate</t>
  </si>
  <si>
    <t>Target ARR</t>
  </si>
  <si>
    <t>$1M target</t>
  </si>
  <si>
    <t>Target MRR (Month 12)</t>
  </si>
  <si>
    <t>Blended ARPU (recurring)</t>
  </si>
  <si>
    <t>Weighted avg price</t>
  </si>
  <si>
    <t>Blended ARPU (w/ upsell)</t>
  </si>
  <si>
    <t>Total revenue per client</t>
  </si>
  <si>
    <t>Clients Needed at M12</t>
  </si>
  <si>
    <t>Key target</t>
  </si>
  <si>
    <t>REVENUE MODEL - 12 MONTH BUILDUP</t>
  </si>
  <si>
    <t>CLIENT ACQUISITION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</si>
  <si>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</si>
  <si>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</si>
  <si>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</si>
  <si>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</si>
  <si>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</si>
  <si>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</si>
  <si>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</si>
  <si>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</si>
  <si>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</si>
  <si>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</si>
  <si>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</si>
  <si>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</si>
  <si>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New Clients (Gross)</t>
  </si>
  <si>
    <t>Churned Clients</t>
  </si>
  <si>
    <t>Net New Clients</t>
  </si>
  <si>
    <t>Total Clients (EoM)</t>
  </si>
  <si>
    <t xml:space="preserve">  Simple Clients</t>
  </si>
  <si>
    <t xml:space="preserve">  Standard Clients</t>
  </si>
  <si>
    <t xml:space="preserve">  Complex Clients</t>
  </si>
  <si>
    <t>MONTHLY RECURRING REVENUE</t>
  </si>
  <si>
    <t>Simple Tier MRR</t>
  </si>
  <si>
    <t>Standard Tier MRR</t>
  </si>
  <si>
    <t>Complex Tier MRR</t>
  </si>
  <si>
    <t>Total Subscription MRR</t>
  </si>
  <si>
    <t>Onboarding Revenue</t>
  </si>
  <si>
    <t>Emergency Upsell</t>
  </si>
  <si>
    <t>Product Break-Fix Upsell</t>
  </si>
  <si>
    <t>Total Monthly Revenue</t>
  </si>
  <si>
    <t>Implied ARR (MRR x 12)</t>
  </si>
  <si>
    <t>COST STRUCTURE - 12 MONTH BUILDUP</t>
  </si>
  <si>
    <t>FIXED COSTS</t>
  </si>
  <si>
    <t>Team Burn (Salaries + Overhead)</t>
  </si>
  <si>
    <t>Total Fixed Costs</t>
  </si>
  <si>
    <t>VARIABLE COSTS (per client)</t>
  </si>
  <si>
    <t>Cloud Hosting ($40/client)</t>
  </si>
  <si>
    <t>AI Token Costs ($8/client)</t>
  </si>
  <si>
    <t>Total Variable Costs</t>
  </si>
  <si>
    <t>SALES &amp; MARKETING</t>
  </si>
  <si>
    <t>S&amp;M Spend (15% of Revenue)</t>
  </si>
  <si>
    <t>TOTAL COSTS</t>
  </si>
  <si>
    <t>Total Monthly Costs</t>
  </si>
  <si>
    <t>Cumulative Costs</t>
  </si>
  <si>
    <t>UNIT ECONOMICS BY TIER</t>
  </si>
  <si>
    <t>Per-Client Monthly Unit Economics</t>
  </si>
  <si>
    <t>Simple</t>
  </si>
  <si>
    <t>Standard</t>
  </si>
  <si>
    <t>Complex</t>
  </si>
  <si>
    <t>REVENUE</t>
  </si>
  <si>
    <t xml:space="preserve">  Monthly Subscription</t>
  </si>
  <si>
    <t xml:space="preserve">  Blended Upsell/mo</t>
  </si>
  <si>
    <t xml:space="preserve">  Total Monthly Revenue</t>
  </si>
  <si>
    <t>VARIABLE COSTS</t>
  </si>
  <si>
    <t xml:space="preserve">  Cloud Hosting</t>
  </si>
  <si>
    <t xml:space="preserve">  AI Tokens</t>
  </si>
  <si>
    <t>LIFETIME VALUE (LTV)</t>
  </si>
  <si>
    <t xml:space="preserve">  Avg Lifetime (months @ 3% churn)</t>
  </si>
  <si>
    <t xml:space="preserve">  LTV (Revenue)</t>
  </si>
  <si>
    <t xml:space="preserve">  LTV (Gross Profit)</t>
  </si>
  <si>
    <t xml:space="preserve">  Onboarding Fee (one-time)</t>
  </si>
  <si>
    <t xml:space="preserve">  Total LTV incl. Onboarding</t>
  </si>
  <si>
    <t>P&amp;L SUMMARY - PATH TO $1M ARR</t>
  </si>
  <si>
    <t>Total Revenue</t>
  </si>
  <si>
    <t xml:space="preserve">  Subscription MRR</t>
  </si>
  <si>
    <t xml:space="preserve">  Onboarding Revenue</t>
  </si>
  <si>
    <t xml:space="preserve">  Emergency Upsell</t>
  </si>
  <si>
    <t xml:space="preserve">  Product Break-Fix</t>
  </si>
  <si>
    <t>Total Costs</t>
  </si>
  <si>
    <t xml:space="preserve">  Fixed (Team Burn)</t>
  </si>
  <si>
    <t xml:space="preserve">  Variable Costs</t>
  </si>
  <si>
    <t xml:space="preserve">  S&amp;M</t>
  </si>
  <si>
    <t>Net Income / (Loss)</t>
  </si>
  <si>
    <t>Net Margin %</t>
  </si>
  <si>
    <t>KEY METRICS</t>
  </si>
  <si>
    <t>Cumulative Cash Flow</t>
  </si>
  <si>
    <t>Total Clients</t>
  </si>
  <si>
    <t>Implied ARR (Sub MRR x 12)</t>
  </si>
  <si>
    <t>Total Revenue (Cumulative)</t>
  </si>
  <si>
    <t>Months to Profitability</t>
  </si>
  <si>
    <t>12-Mo Total</t>
  </si>
  <si>
    <t xml:space="preserve">  Core Team Capacity (hrs/wk)</t>
  </si>
  <si>
    <t>2 engs, covered by $80K burn</t>
  </si>
  <si>
    <t xml:space="preserve">  Core Team Capacity (hrs/mo)</t>
  </si>
  <si>
    <t>Auto-calculated (~80 hrs/mo)</t>
  </si>
  <si>
    <t xml:space="preserve">  New Hire Capacity (hrs/wk)</t>
  </si>
  <si>
    <t>100% client-facing</t>
  </si>
  <si>
    <t>Total Client Hours Needed</t>
  </si>
  <si>
    <t xml:space="preserve">  Core Team Absorbed (free)</t>
  </si>
  <si>
    <t xml:space="preserve">  Overflow Hours</t>
  </si>
  <si>
    <t>Overflow Eng Cost ($75/hr)</t>
  </si>
  <si>
    <t>Headcount: Additional Hires</t>
  </si>
  <si>
    <t xml:space="preserve">  Eng Hours (if overflow @ $75/hr)</t>
  </si>
  <si>
    <t xml:space="preserve">  Emergency Eng (share @ $75/hr)</t>
  </si>
  <si>
    <t xml:space="preserve">  Total Variable Cost (at scale)</t>
  </si>
  <si>
    <t xml:space="preserve">  Variable Cost (within core cap.)</t>
  </si>
  <si>
    <t>CONTRIBUTION MARGIN (at scale)</t>
  </si>
  <si>
    <t>Contribution Margin % (at scale)</t>
  </si>
  <si>
    <t>Base New Clients (Month 1)</t>
  </si>
  <si>
    <t>Curve Steepness</t>
  </si>
  <si>
    <t>Growth Curve Inputs:</t>
  </si>
  <si>
    <t>Steepness:</t>
  </si>
  <si>
    <t>Churn:</t>
  </si>
  <si>
    <t>Base:</t>
  </si>
  <si>
    <t>Growth%:</t>
  </si>
  <si>
    <t>→ Revenue Model!D2</t>
  </si>
  <si>
    <t>Monthly Growth Rate</t>
  </si>
  <si>
    <t>→ Revenue Model!F2</t>
  </si>
  <si>
    <t>→ Revenue Model!H2  |  &lt;1 dampens, =1 pure, &gt;1 amplifies</t>
  </si>
  <si>
    <t xml:space="preserve">  Formula: Base × (1+Growth%)^(Steep×(M-1))</t>
  </si>
  <si>
    <t>Month 12 — Profitable! (+$10.9K net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</si>
</sst>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0.0%"/>
    <numFmt numFmtId="167" formatCode="0.0"/>
    <numFmt numFmtId="168" formatCode="&quot;$&quot;#,##0;\(&quot;$&quot;#,##0\);&quot;$&quot;0"/>
  </numFmts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A1A2E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9"/>
      <color rgb="FF88888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9"/>
      <color rgb="FF008000"/>
      <name val="Calibri"/>
      <family val="2"/>
      <scheme val="minor"/>
    </font>
    <font>
      <i/>
      <sz val="12"/>
      <color rgb="FF888888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0"/>
      <color rgb="FF555555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0" xfId="0" applyFont="1"/>
    <xf numFmtId="9" fontId="6" fillId="0" borderId="0" xfId="0" applyNumberFormat="1" applyFont="1"/>
    <xf numFmtId="0" fontId="8" fillId="0" borderId="0" xfId="0" applyFont="1"/>
    <xf numFmtId="9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2" fontId="6" fillId="0" borderId="0" xfId="0" applyNumberFormat="1" applyFont="1"/>
    <xf numFmtId="3" fontId="1" fillId="3" borderId="0" xfId="0" applyNumberFormat="1" applyFont="1" applyFill="1"/>
    <xf numFmtId="0" fontId="9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6" fontId="1" fillId="5" borderId="0" xfId="0" applyNumberFormat="1" applyFont="1" applyFill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0" fillId="0" borderId="2" xfId="0" applyFont="1" applyBorder="1"/>
    <xf numFmtId="0" fontId="0" fillId="0" borderId="2" xfId="0" applyBorder="1"/>
    <xf numFmtId="164" fontId="1" fillId="0" borderId="2" xfId="0" applyNumberFormat="1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0" fontId="10" fillId="0" borderId="3" xfId="0" applyFont="1" applyBorder="1"/>
    <xf numFmtId="0" fontId="0" fillId="0" borderId="3" xfId="0" applyBorder="1"/>
    <xf numFmtId="164" fontId="1" fillId="4" borderId="3" xfId="0" applyNumberFormat="1" applyFont="1" applyFill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8" fontId="1" fillId="5" borderId="3" xfId="0" applyNumberFormat="1" applyFont="1" applyFill="1" applyBorder="1" applyAlignment="1">
      <alignment horizontal="center"/>
    </xf>
    <xf numFmtId="1" fontId="6" fillId="0" borderId="0" xfId="0" applyNumberFormat="1" applyFont="1"/>
    <xf numFmtId="1" fontId="0" fillId="2" borderId="0" xfId="0" applyNumberFormat="1" applyFill="1"/>
    <xf numFmtId="0" fontId="7" fillId="2" borderId="0" xfId="0" applyFont="1" applyFill="1"/>
    <xf numFmtId="1" fontId="6" fillId="2" borderId="0" xfId="0" applyNumberFormat="1" applyFont="1" applyFill="1"/>
    <xf numFmtId="1" fontId="1" fillId="0" borderId="0" xfId="0" applyNumberFormat="1" applyFont="1" applyAlignment="1">
      <alignment horizontal="center"/>
    </xf>
    <xf numFmtId="0" fontId="11" fillId="0" borderId="0" xfId="0" applyFont="1"/>
    <xf numFmtId="165" fontId="11" fillId="0" borderId="0" xfId="0" applyNumberFormat="1" applyFont="1" applyAlignment="1">
      <alignment horizontal="center"/>
    </xf>
    <xf numFmtId="0" fontId="12" fillId="0" borderId="0" xfId="0" applyFont="1"/>
    <xf numFmtId="9" fontId="6" fillId="3" borderId="0" xfId="0" applyNumberFormat="1" applyFont="1" applyFill="1"/>
    <xf numFmtId="2" fontId="6" fillId="3" borderId="0" xfId="0" applyNumberFormat="1" applyFont="1" applyFill="1"/>
    <xf numFmtId="0" fontId="13" fillId="0" borderId="0" xfId="0" applyFont="1"/>
    <xf numFmtId="0" fontId="15" fillId="0" borderId="0" xfId="0" applyFont="1"/>
    <xf numFmtId="0" fontId="14" fillId="0" borderId="0" xfId="0" applyFont="1" applyAlignment="1">
      <alignment horizontal="right"/>
    </xf>
    <xf numFmtId="0" fontId="16" fillId="3" borderId="0" xfId="0" applyFont="1" applyFill="1" applyAlignment="1">
      <alignment horizontal="center"/>
    </xf>
    <xf numFmtId="2" fontId="16" fillId="3" borderId="0" xfId="0" applyNumberFormat="1" applyFont="1" applyFill="1" applyAlignment="1">
      <alignment horizontal="center"/>
    </xf>
    <xf numFmtId="9" fontId="16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4"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Client Growth (12-Month)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Model'!$A$26:$B$26</c:f>
              <c:strCache>
                <c:ptCount val="2"/>
                <c:pt idx="0">
                  <c:v>Total Clients</c:v>
                </c:pt>
              </c:strCache>
            </c:strRef>
          </c:tx>
          <c:spPr>
            <a:ln w="28575" cap="rnd">
              <a:solidFill>
                <a:srgbClr val="1A1A2E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FFFF"/>
              </a:solidFill>
              <a:ln w="9525">
                <a:solidFill>
                  <a:srgbClr val="1A1A2E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55555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Model'!$C$25:$N$25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'Revenue Model'!$C$26:$N$26</c:f>
              <c:numCache>
                <c:formatCode>General</c:formatCode>
                <c:ptCount val="12"/>
                <c:pt idx="0">
                  <c:v>4</c:v>
                </c:pt>
                <c:pt idx="1">
                  <c:v>10</c:v>
                </c:pt>
                <c:pt idx="2">
                  <c:v>19</c:v>
                </c:pt>
                <c:pt idx="3">
                  <c:v>32</c:v>
                </c:pt>
                <c:pt idx="4">
                  <c:v>52</c:v>
                </c:pt>
                <c:pt idx="5">
                  <c:v>83</c:v>
                </c:pt>
                <c:pt idx="6">
                  <c:v>131</c:v>
                </c:pt>
                <c:pt idx="7">
                  <c:v>202</c:v>
                </c:pt>
                <c:pt idx="8">
                  <c:v>311</c:v>
                </c:pt>
                <c:pt idx="9">
                  <c:v>476</c:v>
                </c:pt>
                <c:pt idx="10">
                  <c:v>727</c:v>
                </c:pt>
                <c:pt idx="11">
                  <c:v>1108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1-7C4F-A3D7-929B0ED37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8368928"/>
        <c:axId val="436927408"/>
      </c:lineChart>
      <c:catAx>
        <c:axId val="201836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27408"/>
        <c:crosses val="autoZero"/>
        <c:auto val="1"/>
        <c:lblAlgn val="ctr"/>
        <c:lblOffset val="100"/>
        <c:noMultiLvlLbl val="0"/>
      </c:catAx>
      <c:valAx>
        <c:axId val="43692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6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27</xdr:row>
      <xdr:rowOff>0</xdr:rowOff>
    </xdr:from>
    <xdr:to>
      <xdr:col>9</xdr:col>
      <xdr:colOff>76200</xdr:colOff>
      <xdr:row>45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6BB6B2-BE61-C9E1-AA2E-FDC2B5008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a32901-520c-4d21-aa35-4e2806d8fcb2}">
  <we:reference id="WA200009404" version="1.0.0.5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C51"/>
  <sheetViews>
    <sheetView tabSelected="1" topLeftCell="A17" zoomScaleNormal="100" workbookViewId="0">
      <selection activeCell="D24" sqref="D24"/>
    </sheetView>
  </sheetViews>
  <sheetFormatPr baseColWidth="10" defaultColWidth="10.6640625" defaultRowHeight="16" x14ac:dyDescent="0.2"/>
  <cols>
    <col min="1" max="1" width="36.6640625" customWidth="1"/>
    <col min="2" max="2" width="18.33203125" customWidth="1"/>
    <col min="3" max="3" width="33.33203125" customWidth="1"/>
  </cols>
  <sheetData>
    <row r="1" spans="1:3" ht="19" x14ac:dyDescent="0.25">
      <c r="A1" s="1" t="s">
        <v>0</v>
      </c>
    </row>
    <row r="2" spans="1:3" x14ac:dyDescent="0.2">
      <c r="A2" s="2" t="s">
        <v>1</v>
      </c>
    </row>
    <row r="4" spans="1:3" x14ac:dyDescent="0.2">
      <c r="A4" s="3" t="s">
        <v>2</v>
      </c>
      <c r="B4" s="4"/>
      <c r="C4" s="4"/>
    </row>
    <row r="5" spans="1:3" x14ac:dyDescent="0.2">
      <c r="A5" s="5" t="s">
        <v>3</v>
      </c>
      <c r="B5" s="6">
        <v>500</v>
      </c>
      <c r="C5" s="7" t="s">
        <v>4</v>
      </c>
    </row>
    <row r="6" spans="1:3" x14ac:dyDescent="0.2">
      <c r="A6" t="s">
        <v>5</v>
      </c>
      <c r="B6" s="6">
        <v>1000</v>
      </c>
      <c r="C6" s="7" t="s">
        <v>4</v>
      </c>
    </row>
    <row r="7" spans="1:3" x14ac:dyDescent="0.2">
      <c r="A7" t="s">
        <v>6</v>
      </c>
      <c r="B7" s="6">
        <v>2000</v>
      </c>
      <c r="C7" s="7" t="s">
        <v>4</v>
      </c>
    </row>
    <row r="8" spans="1:3" x14ac:dyDescent="0.2">
      <c r="A8" t="s">
        <v>7</v>
      </c>
      <c r="B8" s="6">
        <v>2000</v>
      </c>
      <c r="C8" s="7" t="s">
        <v>4</v>
      </c>
    </row>
    <row r="10" spans="1:3" x14ac:dyDescent="0.2">
      <c r="A10" s="8" t="s">
        <v>8</v>
      </c>
    </row>
    <row r="11" spans="1:3" x14ac:dyDescent="0.2">
      <c r="A11" t="s">
        <v>9</v>
      </c>
      <c r="B11" s="9">
        <v>0.6</v>
      </c>
      <c r="C11" s="7" t="s">
        <v>4</v>
      </c>
    </row>
    <row r="12" spans="1:3" x14ac:dyDescent="0.2">
      <c r="A12" t="s">
        <v>10</v>
      </c>
      <c r="B12" s="9">
        <v>0.25</v>
      </c>
      <c r="C12" s="7" t="s">
        <v>4</v>
      </c>
    </row>
    <row r="13" spans="1:3" x14ac:dyDescent="0.2">
      <c r="A13" t="s">
        <v>11</v>
      </c>
      <c r="B13" s="9">
        <v>0.15</v>
      </c>
      <c r="C13" s="7" t="s">
        <v>4</v>
      </c>
    </row>
    <row r="14" spans="1:3" x14ac:dyDescent="0.2">
      <c r="A14" s="10" t="s">
        <v>12</v>
      </c>
      <c r="B14" s="11">
        <f>B11+B12+B13</f>
        <v>1</v>
      </c>
    </row>
    <row r="16" spans="1:3" x14ac:dyDescent="0.2">
      <c r="A16" s="3" t="s">
        <v>13</v>
      </c>
      <c r="B16" s="4"/>
      <c r="C16" s="4"/>
    </row>
    <row r="17" spans="1:3" x14ac:dyDescent="0.2">
      <c r="A17" t="s">
        <v>14</v>
      </c>
      <c r="B17" s="6">
        <v>200</v>
      </c>
      <c r="C17" s="7" t="s">
        <v>15</v>
      </c>
    </row>
    <row r="18" spans="1:3" x14ac:dyDescent="0.2">
      <c r="A18" t="s">
        <v>16</v>
      </c>
      <c r="B18" s="9">
        <v>0.15</v>
      </c>
      <c r="C18" s="7" t="s">
        <v>4</v>
      </c>
    </row>
    <row r="19" spans="1:3" x14ac:dyDescent="0.2">
      <c r="A19" t="s">
        <v>17</v>
      </c>
      <c r="B19" s="6">
        <v>175</v>
      </c>
      <c r="C19" s="7" t="s">
        <v>4</v>
      </c>
    </row>
    <row r="20" spans="1:3" x14ac:dyDescent="0.2">
      <c r="A20" t="s">
        <v>18</v>
      </c>
      <c r="B20" s="9">
        <v>0.1</v>
      </c>
      <c r="C20" s="7" t="s">
        <v>4</v>
      </c>
    </row>
    <row r="22" spans="1:3" x14ac:dyDescent="0.2">
      <c r="A22" s="8" t="s">
        <v>19</v>
      </c>
      <c r="B22" s="14">
        <f>B17*B18+B19*B20</f>
        <v>47.5</v>
      </c>
      <c r="C22" s="7" t="s">
        <v>20</v>
      </c>
    </row>
    <row r="24" spans="1:3" x14ac:dyDescent="0.2">
      <c r="A24" s="3" t="s">
        <v>21</v>
      </c>
      <c r="B24" s="4"/>
      <c r="C24" s="4"/>
    </row>
    <row r="25" spans="1:3" x14ac:dyDescent="0.2">
      <c r="A25" t="s">
        <v>22</v>
      </c>
      <c r="B25" s="6">
        <v>75</v>
      </c>
      <c r="C25" s="7" t="s">
        <v>4</v>
      </c>
    </row>
    <row r="26" spans="1:3" x14ac:dyDescent="0.2">
      <c r="A26" t="s">
        <v>23</v>
      </c>
      <c r="B26" s="6">
        <v>40</v>
      </c>
      <c r="C26" s="7" t="s">
        <v>24</v>
      </c>
    </row>
    <row r="27" spans="1:3" x14ac:dyDescent="0.2">
      <c r="A27" t="s">
        <v>25</v>
      </c>
      <c r="B27" s="6">
        <v>8</v>
      </c>
      <c r="C27" s="7" t="s">
        <v>26</v>
      </c>
    </row>
    <row r="28" spans="1:3" x14ac:dyDescent="0.2">
      <c r="A28" t="s">
        <v>27</v>
      </c>
      <c r="B28" s="6">
        <v>80000</v>
      </c>
      <c r="C28" s="7" t="s">
        <v>28</v>
      </c>
    </row>
    <row r="29" spans="1:3" x14ac:dyDescent="0.2">
      <c r="A29" t="s">
        <v>29</v>
      </c>
      <c r="B29" s="9">
        <v>0.15</v>
      </c>
      <c r="C29" s="7" t="s">
        <v>30</v>
      </c>
    </row>
    <row r="31" spans="1:3" x14ac:dyDescent="0.2">
      <c r="A31" s="8" t="s">
        <v>31</v>
      </c>
    </row>
    <row r="32" spans="1:3" x14ac:dyDescent="0.2">
      <c r="A32" t="s">
        <v>32</v>
      </c>
      <c r="B32" s="15">
        <v>0.75</v>
      </c>
      <c r="C32" s="7" t="s">
        <v>33</v>
      </c>
    </row>
    <row r="33" spans="1:3" x14ac:dyDescent="0.2">
      <c r="A33" t="s">
        <v>34</v>
      </c>
      <c r="B33" s="15">
        <v>2</v>
      </c>
      <c r="C33" s="7" t="s">
        <v>35</v>
      </c>
    </row>
    <row r="34" spans="1:3" x14ac:dyDescent="0.2">
      <c r="A34" t="s">
        <v>36</v>
      </c>
      <c r="B34" s="15">
        <v>5</v>
      </c>
      <c r="C34" s="7" t="s">
        <v>37</v>
      </c>
    </row>
    <row r="35" spans="1:3" x14ac:dyDescent="0.2">
      <c r="A35" t="s">
        <v>38</v>
      </c>
      <c r="B35" s="15">
        <v>2.5</v>
      </c>
      <c r="C35" s="7" t="s">
        <v>39</v>
      </c>
    </row>
    <row r="36" spans="1:3" x14ac:dyDescent="0.2">
      <c r="A36" t="s">
        <v>40</v>
      </c>
      <c r="B36" s="15">
        <v>3</v>
      </c>
      <c r="C36" s="7" t="s">
        <v>41</v>
      </c>
    </row>
    <row r="37" spans="1:3" x14ac:dyDescent="0.2">
      <c r="A37" t="s">
        <v>134</v>
      </c>
      <c r="B37" s="49">
        <v>20</v>
      </c>
      <c r="C37" s="7" t="s">
        <v>135</v>
      </c>
    </row>
    <row r="38" spans="1:3" x14ac:dyDescent="0.2">
      <c r="A38" s="3" t="s">
        <v>136</v>
      </c>
      <c r="B38" s="50">
        <f>B37*4.33</f>
        <v>86.6</v>
      </c>
      <c r="C38" s="51" t="s">
        <v>137</v>
      </c>
    </row>
    <row r="39" spans="1:3" x14ac:dyDescent="0.2">
      <c r="A39" t="s">
        <v>138</v>
      </c>
      <c r="B39" s="49">
        <v>50</v>
      </c>
      <c r="C39" s="7" t="s">
        <v>139</v>
      </c>
    </row>
    <row r="40" spans="1:3" x14ac:dyDescent="0.2">
      <c r="B40" s="49"/>
      <c r="C40" s="7"/>
    </row>
    <row r="41" spans="1:3" x14ac:dyDescent="0.2">
      <c r="A41" s="3" t="s">
        <v>42</v>
      </c>
      <c r="B41" s="52"/>
      <c r="C41" s="51"/>
    </row>
    <row r="42" spans="1:3" x14ac:dyDescent="0.2">
      <c r="A42" t="s">
        <v>43</v>
      </c>
      <c r="B42" s="9">
        <v>0.03</v>
      </c>
      <c r="C42" s="7" t="s">
        <v>4</v>
      </c>
    </row>
    <row r="43" spans="1:3" x14ac:dyDescent="0.2">
      <c r="A43" t="s">
        <v>151</v>
      </c>
      <c r="B43" s="49">
        <v>4</v>
      </c>
      <c r="C43" s="7" t="s">
        <v>158</v>
      </c>
    </row>
    <row r="44" spans="1:3" x14ac:dyDescent="0.2">
      <c r="A44" t="s">
        <v>159</v>
      </c>
      <c r="B44" s="57">
        <v>0.15</v>
      </c>
      <c r="C44" s="7" t="s">
        <v>160</v>
      </c>
    </row>
    <row r="45" spans="1:3" x14ac:dyDescent="0.2">
      <c r="A45" s="59" t="s">
        <v>152</v>
      </c>
      <c r="B45" s="58">
        <v>1</v>
      </c>
      <c r="C45" s="7" t="s">
        <v>161</v>
      </c>
    </row>
    <row r="46" spans="1:3" x14ac:dyDescent="0.2">
      <c r="A46" s="59" t="s">
        <v>162</v>
      </c>
      <c r="B46" s="9"/>
      <c r="C46" s="7"/>
    </row>
    <row r="47" spans="1:3" x14ac:dyDescent="0.2">
      <c r="A47" t="s">
        <v>44</v>
      </c>
      <c r="B47" s="6">
        <v>1000000</v>
      </c>
      <c r="C47" s="7" t="s">
        <v>45</v>
      </c>
    </row>
    <row r="48" spans="1:3" x14ac:dyDescent="0.2">
      <c r="A48" t="s">
        <v>46</v>
      </c>
      <c r="B48" s="12">
        <f>B47/12</f>
        <v>83333.333333333328</v>
      </c>
      <c r="C48" s="7" t="s">
        <v>20</v>
      </c>
    </row>
    <row r="49" spans="1:3" x14ac:dyDescent="0.2">
      <c r="A49" s="8" t="s">
        <v>47</v>
      </c>
      <c r="B49" s="13">
        <f>B5*B11+B6*B12+B7*B13</f>
        <v>850</v>
      </c>
      <c r="C49" s="7" t="s">
        <v>48</v>
      </c>
    </row>
    <row r="50" spans="1:3" x14ac:dyDescent="0.2">
      <c r="A50" s="8" t="s">
        <v>49</v>
      </c>
      <c r="B50" s="14">
        <f>B49+B22</f>
        <v>897.5</v>
      </c>
      <c r="C50" s="7" t="s">
        <v>50</v>
      </c>
    </row>
    <row r="51" spans="1:3" x14ac:dyDescent="0.2">
      <c r="A51" s="8" t="s">
        <v>51</v>
      </c>
      <c r="B51" s="16">
        <f>ROUNDUP(B48/B50,0)</f>
        <v>93</v>
      </c>
      <c r="C51" s="7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0A22-8D6F-5A44-A694-84419BF77C5B}">
  <dimension ref="A1:O26"/>
  <sheetViews>
    <sheetView topLeftCell="A6" workbookViewId="0">
      <pane xSplit="2" topLeftCell="C1" activePane="topRight" state="frozen"/>
      <selection pane="topRight" activeCell="L40" sqref="L40"/>
    </sheetView>
  </sheetViews>
  <sheetFormatPr baseColWidth="10" defaultRowHeight="16" x14ac:dyDescent="0.2"/>
  <cols>
    <col min="1" max="1" width="33.33203125" customWidth="1"/>
    <col min="3" max="14" width="14.1640625" customWidth="1"/>
    <col min="15" max="15" width="15.83203125" customWidth="1"/>
  </cols>
  <sheetData>
    <row r="1" spans="1:15" ht="19" x14ac:dyDescent="0.25">
      <c r="A1" s="1" t="s">
        <v>53</v>
      </c>
    </row>
    <row r="2" spans="1:15" x14ac:dyDescent="0.2">
      <c r="A2" s="60" t="s">
        <v>153</v>
      </c>
      <c r="C2" s="61" t="s">
        <v>156</v>
      </c>
      <c r="D2" s="62">
        <v>4</v>
      </c>
      <c r="E2" s="61" t="s">
        <v>157</v>
      </c>
      <c r="F2" s="64">
        <v>0.15</v>
      </c>
      <c r="G2" s="61" t="s">
        <v>154</v>
      </c>
      <c r="H2" s="63">
        <v>3</v>
      </c>
      <c r="I2" s="61" t="s">
        <v>155</v>
      </c>
      <c r="J2" s="64">
        <v>0.03</v>
      </c>
    </row>
    <row r="3" spans="1:15" x14ac:dyDescent="0.2">
      <c r="A3" s="3" t="s">
        <v>54</v>
      </c>
      <c r="B3" s="4"/>
      <c r="C3" s="17" t="s">
        <v>55</v>
      </c>
      <c r="D3" s="17" t="s">
        <v>56</v>
      </c>
      <c r="E3" s="17" t="s">
        <v>57</v>
      </c>
      <c r="F3" s="17" t="s">
        <v>58</v>
      </c>
      <c r="G3" s="17" t="s">
        <v>59</v>
      </c>
      <c r="H3" s="17" t="s">
        <v>60</v>
      </c>
      <c r="I3" s="17" t="s">
        <v>61</v>
      </c>
      <c r="J3" s="17" t="s">
        <v>62</v>
      </c>
      <c r="K3" s="17" t="s">
        <v>63</v>
      </c>
      <c r="L3" s="17" t="s">
        <v>64</v>
      </c>
      <c r="M3" s="17" t="s">
        <v>65</v>
      </c>
      <c r="N3" s="17" t="s">
        <v>66</v>
      </c>
      <c r="O3" s="17" t="s">
        <v>133</v>
      </c>
    </row>
    <row r="4" spans="1:15" x14ac:dyDescent="0.2">
      <c r="A4" s="8" t="s">
        <v>67</v>
      </c>
      <c r="C4" s="65">
        <f>ROUND($D$2*(1+$F$2)^($H$2*0),0)</f>
        <v>4</v>
      </c>
      <c r="D4" s="65">
        <f>ROUND($D$2*(1+$F$2)^($H$2*1),0)</f>
        <v>6</v>
      </c>
      <c r="E4" s="65">
        <f>ROUND($D$2*(1+$F$2)^($H$2*2),0)</f>
        <v>9</v>
      </c>
      <c r="F4" s="65">
        <f>ROUND($D$2*(1+$F$2)^($H$2*3),0)</f>
        <v>14</v>
      </c>
      <c r="G4" s="65">
        <f>ROUND($D$2*(1+$F$2)^($H$2*4),0)</f>
        <v>21</v>
      </c>
      <c r="H4" s="65">
        <f>ROUND($D$2*(1+$F$2)^($H$2*5),0)</f>
        <v>33</v>
      </c>
      <c r="I4" s="65">
        <f>ROUND($D$2*(1+$F$2)^($H$2*6),0)</f>
        <v>50</v>
      </c>
      <c r="J4" s="65">
        <f>ROUND($D$2*(1+$F$2)^($H$2*7),0)</f>
        <v>75</v>
      </c>
      <c r="K4" s="65">
        <f>ROUND($D$2*(1+$F$2)^($H$2*8),0)</f>
        <v>115</v>
      </c>
      <c r="L4" s="65">
        <f>ROUND($D$2*(1+$F$2)^($H$2*9),0)</f>
        <v>174</v>
      </c>
      <c r="M4" s="65">
        <f>ROUND($D$2*(1+$F$2)^($H$2*10),0)</f>
        <v>265</v>
      </c>
      <c r="N4" s="65">
        <f>ROUND($D$2*(1+$F$2)^($H$2*11),0)</f>
        <v>403</v>
      </c>
      <c r="O4" s="30">
        <f>SUM(C4:N4)</f>
        <v>1169</v>
      </c>
    </row>
    <row r="5" spans="1:15" x14ac:dyDescent="0.2">
      <c r="A5" t="s">
        <v>68</v>
      </c>
      <c r="C5" s="18">
        <v>0</v>
      </c>
      <c r="D5" s="18">
        <f>ROUND(C8*$J$2,0)</f>
        <v>0</v>
      </c>
      <c r="E5" s="18">
        <f>ROUND(D8*$J$2,0)</f>
        <v>0</v>
      </c>
      <c r="F5" s="18">
        <f>ROUND(E8*$J$2,0)</f>
        <v>1</v>
      </c>
      <c r="G5" s="18">
        <f>ROUND(F8*$J$2,0)</f>
        <v>1</v>
      </c>
      <c r="H5" s="18">
        <f>ROUND(G8*$J$2,0)</f>
        <v>2</v>
      </c>
      <c r="I5" s="18">
        <f>ROUND(H8*$J$2,0)</f>
        <v>2</v>
      </c>
      <c r="J5" s="18">
        <f>ROUND(I8*$J$2,0)</f>
        <v>4</v>
      </c>
      <c r="K5" s="18">
        <f>ROUND(J8*$J$2,0)</f>
        <v>6</v>
      </c>
      <c r="L5" s="18">
        <f>ROUND(K8*$J$2,0)</f>
        <v>9</v>
      </c>
      <c r="M5" s="18">
        <f>ROUND(L8*$J$2,0)</f>
        <v>14</v>
      </c>
      <c r="N5" s="18">
        <f>ROUND(M8*$J$2,0)</f>
        <v>22</v>
      </c>
      <c r="O5" s="32">
        <f>SUM(C5:N5)</f>
        <v>61</v>
      </c>
    </row>
    <row r="6" spans="1:15" x14ac:dyDescent="0.2">
      <c r="A6" t="s">
        <v>69</v>
      </c>
      <c r="C6" s="18">
        <f>C4-C5</f>
        <v>4</v>
      </c>
      <c r="D6" s="18">
        <f>D4-D5</f>
        <v>6</v>
      </c>
      <c r="E6" s="18">
        <f>E4-E5</f>
        <v>9</v>
      </c>
      <c r="F6" s="18">
        <f>F4-F5</f>
        <v>13</v>
      </c>
      <c r="G6" s="18">
        <f>G4-G5</f>
        <v>20</v>
      </c>
      <c r="H6" s="18">
        <f>H4-H5</f>
        <v>31</v>
      </c>
      <c r="I6" s="18">
        <f>I4-I5</f>
        <v>48</v>
      </c>
      <c r="J6" s="18">
        <f>J4-J5</f>
        <v>71</v>
      </c>
      <c r="K6" s="18">
        <f>K4-K5</f>
        <v>109</v>
      </c>
      <c r="L6" s="18">
        <f>L4-L5</f>
        <v>165</v>
      </c>
      <c r="M6" s="18">
        <f>M4-M5</f>
        <v>251</v>
      </c>
      <c r="N6" s="18">
        <f>N4-N5</f>
        <v>381</v>
      </c>
      <c r="O6" s="32">
        <f>SUM(C6:N6)</f>
        <v>1108</v>
      </c>
    </row>
    <row r="8" spans="1:15" x14ac:dyDescent="0.2">
      <c r="A8" s="35" t="s">
        <v>70</v>
      </c>
      <c r="B8" s="36"/>
      <c r="C8" s="37">
        <f>C6</f>
        <v>4</v>
      </c>
      <c r="D8" s="37">
        <f>C8+D6</f>
        <v>10</v>
      </c>
      <c r="E8" s="37">
        <f>D8+E6</f>
        <v>19</v>
      </c>
      <c r="F8" s="37">
        <f>E8+F6</f>
        <v>32</v>
      </c>
      <c r="G8" s="37">
        <f>F8+G6</f>
        <v>52</v>
      </c>
      <c r="H8" s="37">
        <f>G8+H6</f>
        <v>83</v>
      </c>
      <c r="I8" s="37">
        <f>H8+I6</f>
        <v>131</v>
      </c>
      <c r="J8" s="37">
        <f>I8+J6</f>
        <v>202</v>
      </c>
      <c r="K8" s="37">
        <f>J8+K6</f>
        <v>311</v>
      </c>
      <c r="L8" s="37">
        <f>K8+L6</f>
        <v>476</v>
      </c>
      <c r="M8" s="37">
        <f>L8+M6</f>
        <v>727</v>
      </c>
      <c r="N8" s="37">
        <f>M8+N6</f>
        <v>1108</v>
      </c>
      <c r="O8" s="36"/>
    </row>
    <row r="9" spans="1:15" x14ac:dyDescent="0.2">
      <c r="A9" t="s">
        <v>71</v>
      </c>
      <c r="C9" s="18">
        <f>ROUND(C8*0.6,0)</f>
        <v>2</v>
      </c>
      <c r="D9" s="18">
        <f>ROUND(D8*0.6,0)</f>
        <v>6</v>
      </c>
      <c r="E9" s="18">
        <f>ROUND(E8*0.6,0)</f>
        <v>11</v>
      </c>
      <c r="F9" s="18">
        <f>ROUND(F8*0.6,0)</f>
        <v>19</v>
      </c>
      <c r="G9" s="18">
        <f>ROUND(G8*0.6,0)</f>
        <v>31</v>
      </c>
      <c r="H9" s="18">
        <f>ROUND(H8*0.6,0)</f>
        <v>50</v>
      </c>
      <c r="I9" s="18">
        <f>ROUND(I8*0.6,0)</f>
        <v>79</v>
      </c>
      <c r="J9" s="18">
        <f>ROUND(J8*0.6,0)</f>
        <v>121</v>
      </c>
      <c r="K9" s="18">
        <f>ROUND(K8*0.6,0)</f>
        <v>187</v>
      </c>
      <c r="L9" s="18">
        <f>ROUND(L8*0.6,0)</f>
        <v>286</v>
      </c>
      <c r="M9" s="18">
        <f>ROUND(M8*0.6,0)</f>
        <v>436</v>
      </c>
      <c r="N9" s="18">
        <f>ROUND(N8*0.6,0)</f>
        <v>665</v>
      </c>
    </row>
    <row r="10" spans="1:15" x14ac:dyDescent="0.2">
      <c r="A10" t="s">
        <v>72</v>
      </c>
      <c r="C10" s="18">
        <f>ROUND(C8*0.25,0)</f>
        <v>1</v>
      </c>
      <c r="D10" s="18">
        <f>ROUND(D8*0.25,0)</f>
        <v>3</v>
      </c>
      <c r="E10" s="18">
        <f>ROUND(E8*0.25,0)</f>
        <v>5</v>
      </c>
      <c r="F10" s="18">
        <f>ROUND(F8*0.25,0)</f>
        <v>8</v>
      </c>
      <c r="G10" s="18">
        <f>ROUND(G8*0.25,0)</f>
        <v>13</v>
      </c>
      <c r="H10" s="18">
        <f>ROUND(H8*0.25,0)</f>
        <v>21</v>
      </c>
      <c r="I10" s="18">
        <f>ROUND(I8*0.25,0)</f>
        <v>33</v>
      </c>
      <c r="J10" s="18">
        <f>ROUND(J8*0.25,0)</f>
        <v>51</v>
      </c>
      <c r="K10" s="18">
        <f>ROUND(K8*0.25,0)</f>
        <v>78</v>
      </c>
      <c r="L10" s="18">
        <f>ROUND(L8*0.25,0)</f>
        <v>119</v>
      </c>
      <c r="M10" s="18">
        <f>ROUND(M8*0.25,0)</f>
        <v>182</v>
      </c>
      <c r="N10" s="18">
        <f>ROUND(N8*0.25,0)</f>
        <v>277</v>
      </c>
    </row>
    <row r="11" spans="1:15" x14ac:dyDescent="0.2">
      <c r="A11" t="s">
        <v>73</v>
      </c>
      <c r="C11" s="18">
        <f>C8-C9-C10</f>
        <v>1</v>
      </c>
      <c r="D11" s="18">
        <f>D8-D9-D10</f>
        <v>1</v>
      </c>
      <c r="E11" s="18">
        <f>E8-E9-E10</f>
        <v>3</v>
      </c>
      <c r="F11" s="18">
        <f>F8-F9-F10</f>
        <v>5</v>
      </c>
      <c r="G11" s="18">
        <f>G8-G9-G10</f>
        <v>8</v>
      </c>
      <c r="H11" s="18">
        <f>H8-H9-H10</f>
        <v>12</v>
      </c>
      <c r="I11" s="18">
        <f>I8-I9-I10</f>
        <v>19</v>
      </c>
      <c r="J11" s="18">
        <f>J8-J9-J10</f>
        <v>30</v>
      </c>
      <c r="K11" s="18">
        <f>K8-K9-K10</f>
        <v>46</v>
      </c>
      <c r="L11" s="18">
        <f>L8-L9-L10</f>
        <v>71</v>
      </c>
      <c r="M11" s="18">
        <f>M8-M9-M10</f>
        <v>109</v>
      </c>
      <c r="N11" s="18">
        <f>N8-N9-N10</f>
        <v>166</v>
      </c>
    </row>
    <row r="13" spans="1:15" x14ac:dyDescent="0.2">
      <c r="A13" s="3" t="s">
        <v>74</v>
      </c>
      <c r="B13" s="4"/>
      <c r="C13" s="17" t="s">
        <v>55</v>
      </c>
      <c r="D13" s="17" t="s">
        <v>56</v>
      </c>
      <c r="E13" s="17" t="s">
        <v>57</v>
      </c>
      <c r="F13" s="17" t="s">
        <v>58</v>
      </c>
      <c r="G13" s="17" t="s">
        <v>59</v>
      </c>
      <c r="H13" s="17" t="s">
        <v>60</v>
      </c>
      <c r="I13" s="17" t="s">
        <v>61</v>
      </c>
      <c r="J13" s="17" t="s">
        <v>62</v>
      </c>
      <c r="K13" s="17" t="s">
        <v>63</v>
      </c>
      <c r="L13" s="17" t="s">
        <v>64</v>
      </c>
      <c r="M13" s="17" t="s">
        <v>65</v>
      </c>
      <c r="N13" s="17" t="s">
        <v>66</v>
      </c>
    </row>
    <row r="14" spans="1:15" x14ac:dyDescent="0.2">
      <c r="A14" t="s">
        <v>75</v>
      </c>
      <c r="C14" s="20">
        <f>C9*500</f>
        <v>1000</v>
      </c>
      <c r="D14" s="20">
        <f t="shared" ref="D14:N14" si="0">D9*500</f>
        <v>3000</v>
      </c>
      <c r="E14" s="20">
        <f t="shared" si="0"/>
        <v>5500</v>
      </c>
      <c r="F14" s="20">
        <f t="shared" si="0"/>
        <v>9500</v>
      </c>
      <c r="G14" s="20">
        <f t="shared" si="0"/>
        <v>15500</v>
      </c>
      <c r="H14" s="20">
        <f t="shared" si="0"/>
        <v>25000</v>
      </c>
      <c r="I14" s="20">
        <f t="shared" si="0"/>
        <v>39500</v>
      </c>
      <c r="J14" s="20">
        <f t="shared" si="0"/>
        <v>60500</v>
      </c>
      <c r="K14" s="20">
        <f t="shared" si="0"/>
        <v>93500</v>
      </c>
      <c r="L14" s="20">
        <f t="shared" si="0"/>
        <v>143000</v>
      </c>
      <c r="M14" s="20">
        <f t="shared" si="0"/>
        <v>218000</v>
      </c>
      <c r="N14" s="20">
        <f t="shared" si="0"/>
        <v>332500</v>
      </c>
    </row>
    <row r="15" spans="1:15" x14ac:dyDescent="0.2">
      <c r="A15" t="s">
        <v>76</v>
      </c>
      <c r="C15" s="20">
        <f>C10*1000</f>
        <v>1000</v>
      </c>
      <c r="D15" s="20">
        <f t="shared" ref="D15:N15" si="1">D10*1000</f>
        <v>3000</v>
      </c>
      <c r="E15" s="20">
        <f t="shared" si="1"/>
        <v>5000</v>
      </c>
      <c r="F15" s="20">
        <f t="shared" si="1"/>
        <v>8000</v>
      </c>
      <c r="G15" s="20">
        <f t="shared" si="1"/>
        <v>13000</v>
      </c>
      <c r="H15" s="20">
        <f t="shared" si="1"/>
        <v>21000</v>
      </c>
      <c r="I15" s="20">
        <f t="shared" si="1"/>
        <v>33000</v>
      </c>
      <c r="J15" s="20">
        <f t="shared" si="1"/>
        <v>51000</v>
      </c>
      <c r="K15" s="20">
        <f t="shared" si="1"/>
        <v>78000</v>
      </c>
      <c r="L15" s="20">
        <f t="shared" si="1"/>
        <v>119000</v>
      </c>
      <c r="M15" s="20">
        <f t="shared" si="1"/>
        <v>182000</v>
      </c>
      <c r="N15" s="20">
        <f t="shared" si="1"/>
        <v>277000</v>
      </c>
    </row>
    <row r="16" spans="1:15" x14ac:dyDescent="0.2">
      <c r="A16" t="s">
        <v>77</v>
      </c>
      <c r="C16" s="20">
        <f>C11*2000</f>
        <v>2000</v>
      </c>
      <c r="D16" s="20">
        <f t="shared" ref="D16:N16" si="2">D11*2000</f>
        <v>2000</v>
      </c>
      <c r="E16" s="20">
        <f t="shared" si="2"/>
        <v>6000</v>
      </c>
      <c r="F16" s="20">
        <f t="shared" si="2"/>
        <v>10000</v>
      </c>
      <c r="G16" s="20">
        <f t="shared" si="2"/>
        <v>16000</v>
      </c>
      <c r="H16" s="20">
        <f t="shared" si="2"/>
        <v>24000</v>
      </c>
      <c r="I16" s="20">
        <f t="shared" si="2"/>
        <v>38000</v>
      </c>
      <c r="J16" s="20">
        <f t="shared" si="2"/>
        <v>60000</v>
      </c>
      <c r="K16" s="20">
        <f t="shared" si="2"/>
        <v>92000</v>
      </c>
      <c r="L16" s="20">
        <f t="shared" si="2"/>
        <v>142000</v>
      </c>
      <c r="M16" s="20">
        <f t="shared" si="2"/>
        <v>218000</v>
      </c>
      <c r="N16" s="20">
        <f t="shared" si="2"/>
        <v>332000</v>
      </c>
    </row>
    <row r="17" spans="1:15" x14ac:dyDescent="0.2">
      <c r="A17" s="35" t="s">
        <v>78</v>
      </c>
      <c r="B17" s="36"/>
      <c r="C17" s="38">
        <f>C14+C15+C16</f>
        <v>4000</v>
      </c>
      <c r="D17" s="38">
        <f t="shared" ref="D17:N17" si="3">D14+D15+D16</f>
        <v>8000</v>
      </c>
      <c r="E17" s="38">
        <f t="shared" si="3"/>
        <v>16500</v>
      </c>
      <c r="F17" s="38">
        <f t="shared" si="3"/>
        <v>27500</v>
      </c>
      <c r="G17" s="38">
        <f t="shared" si="3"/>
        <v>44500</v>
      </c>
      <c r="H17" s="38">
        <f t="shared" si="3"/>
        <v>70000</v>
      </c>
      <c r="I17" s="38">
        <f t="shared" si="3"/>
        <v>110500</v>
      </c>
      <c r="J17" s="38">
        <f t="shared" si="3"/>
        <v>171500</v>
      </c>
      <c r="K17" s="38">
        <f t="shared" si="3"/>
        <v>263500</v>
      </c>
      <c r="L17" s="38">
        <f t="shared" si="3"/>
        <v>404000</v>
      </c>
      <c r="M17" s="38">
        <f t="shared" si="3"/>
        <v>618000</v>
      </c>
      <c r="N17" s="38">
        <f t="shared" si="3"/>
        <v>941500</v>
      </c>
      <c r="O17" s="39">
        <f>SUM(C17:N17)</f>
        <v>2679500</v>
      </c>
    </row>
    <row r="18" spans="1:15" x14ac:dyDescent="0.2">
      <c r="A18" t="s">
        <v>79</v>
      </c>
      <c r="C18" s="20">
        <f>C4*2000</f>
        <v>8000</v>
      </c>
      <c r="D18" s="20">
        <f t="shared" ref="D18:N18" si="4">D4*2000</f>
        <v>12000</v>
      </c>
      <c r="E18" s="20">
        <f t="shared" si="4"/>
        <v>18000</v>
      </c>
      <c r="F18" s="20">
        <f t="shared" si="4"/>
        <v>28000</v>
      </c>
      <c r="G18" s="20">
        <f t="shared" si="4"/>
        <v>42000</v>
      </c>
      <c r="H18" s="20">
        <f t="shared" si="4"/>
        <v>66000</v>
      </c>
      <c r="I18" s="20">
        <f t="shared" si="4"/>
        <v>100000</v>
      </c>
      <c r="J18" s="20">
        <f t="shared" si="4"/>
        <v>150000</v>
      </c>
      <c r="K18" s="20">
        <f t="shared" si="4"/>
        <v>230000</v>
      </c>
      <c r="L18" s="20">
        <f t="shared" si="4"/>
        <v>348000</v>
      </c>
      <c r="M18" s="20">
        <f t="shared" si="4"/>
        <v>530000</v>
      </c>
      <c r="N18" s="20">
        <f t="shared" si="4"/>
        <v>806000</v>
      </c>
      <c r="O18" s="33">
        <f>SUM(C18:N18)</f>
        <v>2338000</v>
      </c>
    </row>
    <row r="19" spans="1:15" x14ac:dyDescent="0.2">
      <c r="A19" t="s">
        <v>80</v>
      </c>
      <c r="C19" s="20">
        <f>ROUND(C8*0.15,0)*125</f>
        <v>125</v>
      </c>
      <c r="D19" s="20">
        <f t="shared" ref="D19:N19" si="5">ROUND(D8*0.15,0)*125</f>
        <v>250</v>
      </c>
      <c r="E19" s="20">
        <f t="shared" si="5"/>
        <v>375</v>
      </c>
      <c r="F19" s="20">
        <f t="shared" si="5"/>
        <v>625</v>
      </c>
      <c r="G19" s="20">
        <f t="shared" si="5"/>
        <v>1000</v>
      </c>
      <c r="H19" s="20">
        <f t="shared" si="5"/>
        <v>1500</v>
      </c>
      <c r="I19" s="20">
        <f t="shared" si="5"/>
        <v>2500</v>
      </c>
      <c r="J19" s="20">
        <f t="shared" si="5"/>
        <v>3750</v>
      </c>
      <c r="K19" s="20">
        <f t="shared" si="5"/>
        <v>5875</v>
      </c>
      <c r="L19" s="20">
        <f t="shared" si="5"/>
        <v>8875</v>
      </c>
      <c r="M19" s="20">
        <f t="shared" si="5"/>
        <v>13625</v>
      </c>
      <c r="N19" s="20">
        <f t="shared" si="5"/>
        <v>20750</v>
      </c>
      <c r="O19" s="33">
        <f>SUM(C19:N19)</f>
        <v>59250</v>
      </c>
    </row>
    <row r="20" spans="1:15" x14ac:dyDescent="0.2">
      <c r="A20" t="s">
        <v>81</v>
      </c>
      <c r="C20" s="20">
        <f>ROUND(C8*0.1,0)*175</f>
        <v>0</v>
      </c>
      <c r="D20" s="20">
        <f t="shared" ref="D20:N20" si="6">ROUND(D8*0.1,0)*175</f>
        <v>175</v>
      </c>
      <c r="E20" s="20">
        <f t="shared" si="6"/>
        <v>350</v>
      </c>
      <c r="F20" s="20">
        <f t="shared" si="6"/>
        <v>525</v>
      </c>
      <c r="G20" s="20">
        <f t="shared" si="6"/>
        <v>875</v>
      </c>
      <c r="H20" s="20">
        <f t="shared" si="6"/>
        <v>1400</v>
      </c>
      <c r="I20" s="20">
        <f t="shared" si="6"/>
        <v>2275</v>
      </c>
      <c r="J20" s="20">
        <f t="shared" si="6"/>
        <v>3500</v>
      </c>
      <c r="K20" s="20">
        <f t="shared" si="6"/>
        <v>5425</v>
      </c>
      <c r="L20" s="20">
        <f t="shared" si="6"/>
        <v>8400</v>
      </c>
      <c r="M20" s="20">
        <f t="shared" si="6"/>
        <v>12775</v>
      </c>
      <c r="N20" s="20">
        <f t="shared" si="6"/>
        <v>19425</v>
      </c>
      <c r="O20" s="33">
        <f>SUM(C20:N20)</f>
        <v>55125</v>
      </c>
    </row>
    <row r="21" spans="1:15" ht="17" thickBot="1" x14ac:dyDescent="0.25">
      <c r="A21" s="40" t="s">
        <v>82</v>
      </c>
      <c r="B21" s="41"/>
      <c r="C21" s="42">
        <f>C17+C18+C19+C20</f>
        <v>12125</v>
      </c>
      <c r="D21" s="42">
        <f t="shared" ref="D21:N21" si="7">D17+D18+D19+D20</f>
        <v>20425</v>
      </c>
      <c r="E21" s="42">
        <f t="shared" si="7"/>
        <v>35225</v>
      </c>
      <c r="F21" s="42">
        <f t="shared" si="7"/>
        <v>56650</v>
      </c>
      <c r="G21" s="42">
        <f t="shared" si="7"/>
        <v>88375</v>
      </c>
      <c r="H21" s="42">
        <f t="shared" si="7"/>
        <v>138900</v>
      </c>
      <c r="I21" s="42">
        <f t="shared" si="7"/>
        <v>215275</v>
      </c>
      <c r="J21" s="42">
        <f t="shared" si="7"/>
        <v>328750</v>
      </c>
      <c r="K21" s="42">
        <f t="shared" si="7"/>
        <v>504800</v>
      </c>
      <c r="L21" s="42">
        <f t="shared" si="7"/>
        <v>769275</v>
      </c>
      <c r="M21" s="42">
        <f t="shared" si="7"/>
        <v>1174400</v>
      </c>
      <c r="N21" s="42">
        <f t="shared" si="7"/>
        <v>1787675</v>
      </c>
      <c r="O21" s="43">
        <f>SUM(C21:N21)</f>
        <v>5131875</v>
      </c>
    </row>
    <row r="23" spans="1:15" ht="17" thickBot="1" x14ac:dyDescent="0.25">
      <c r="A23" s="44" t="s">
        <v>83</v>
      </c>
      <c r="B23" s="45"/>
      <c r="C23" s="46">
        <f>C17*12</f>
        <v>48000</v>
      </c>
      <c r="D23" s="46">
        <f t="shared" ref="D23:N23" si="8">D17*12</f>
        <v>96000</v>
      </c>
      <c r="E23" s="46">
        <f t="shared" si="8"/>
        <v>198000</v>
      </c>
      <c r="F23" s="46">
        <f t="shared" si="8"/>
        <v>330000</v>
      </c>
      <c r="G23" s="46">
        <f t="shared" si="8"/>
        <v>534000</v>
      </c>
      <c r="H23" s="46">
        <f t="shared" si="8"/>
        <v>840000</v>
      </c>
      <c r="I23" s="46">
        <f t="shared" si="8"/>
        <v>1326000</v>
      </c>
      <c r="J23" s="46">
        <f t="shared" si="8"/>
        <v>2058000</v>
      </c>
      <c r="K23" s="46">
        <f t="shared" si="8"/>
        <v>3162000</v>
      </c>
      <c r="L23" s="46">
        <f t="shared" si="8"/>
        <v>4848000</v>
      </c>
      <c r="M23" s="46">
        <f t="shared" si="8"/>
        <v>7416000</v>
      </c>
      <c r="N23" s="46">
        <f t="shared" si="8"/>
        <v>11298000</v>
      </c>
      <c r="O23" s="45"/>
    </row>
    <row r="24" spans="1:15" ht="17" thickTop="1" x14ac:dyDescent="0.2"/>
    <row r="25" spans="1:15" x14ac:dyDescent="0.2">
      <c r="A25" s="66"/>
      <c r="C25" s="67" t="s">
        <v>55</v>
      </c>
      <c r="D25" s="67" t="s">
        <v>56</v>
      </c>
      <c r="E25" s="67" t="s">
        <v>57</v>
      </c>
      <c r="F25" s="67" t="s">
        <v>58</v>
      </c>
      <c r="G25" s="67" t="s">
        <v>59</v>
      </c>
      <c r="H25" s="67" t="s">
        <v>60</v>
      </c>
      <c r="I25" s="67" t="s">
        <v>61</v>
      </c>
      <c r="J25" s="67" t="s">
        <v>62</v>
      </c>
      <c r="K25" s="67" t="s">
        <v>63</v>
      </c>
      <c r="L25" s="67" t="s">
        <v>64</v>
      </c>
      <c r="M25" s="67" t="s">
        <v>65</v>
      </c>
      <c r="N25" s="67" t="s">
        <v>66</v>
      </c>
    </row>
    <row r="26" spans="1:15" x14ac:dyDescent="0.2">
      <c r="A26" s="66" t="s">
        <v>129</v>
      </c>
      <c r="C26" s="67">
        <f>C8</f>
        <v>4</v>
      </c>
      <c r="D26" s="67">
        <f>D8</f>
        <v>10</v>
      </c>
      <c r="E26" s="67">
        <f>E8</f>
        <v>19</v>
      </c>
      <c r="F26" s="67">
        <f>F8</f>
        <v>32</v>
      </c>
      <c r="G26" s="67">
        <f>G8</f>
        <v>52</v>
      </c>
      <c r="H26" s="67">
        <f>H8</f>
        <v>83</v>
      </c>
      <c r="I26" s="67">
        <f>I8</f>
        <v>131</v>
      </c>
      <c r="J26" s="67">
        <f>J8</f>
        <v>202</v>
      </c>
      <c r="K26" s="67">
        <f>K8</f>
        <v>311</v>
      </c>
      <c r="L26" s="67">
        <f>L8</f>
        <v>476</v>
      </c>
      <c r="M26" s="67">
        <f>M8</f>
        <v>727</v>
      </c>
      <c r="N26" s="67">
        <f>N8</f>
        <v>1108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61FF-A6D2-3E48-A4D3-49CA1C0AB2F8}">
  <dimension ref="A1:N22"/>
  <sheetViews>
    <sheetView workbookViewId="0">
      <pane xSplit="2" topLeftCell="C1" activePane="topRight" state="frozen"/>
      <selection pane="topRight" activeCell="I27" sqref="I27"/>
    </sheetView>
  </sheetViews>
  <sheetFormatPr baseColWidth="10" defaultRowHeight="16" x14ac:dyDescent="0.2"/>
  <cols>
    <col min="1" max="1" width="36.6640625" customWidth="1"/>
    <col min="3" max="14" width="14.1640625" customWidth="1"/>
  </cols>
  <sheetData>
    <row r="1" spans="1:14" ht="19" x14ac:dyDescent="0.25">
      <c r="A1" s="1" t="s">
        <v>84</v>
      </c>
    </row>
    <row r="3" spans="1:14" x14ac:dyDescent="0.2">
      <c r="A3" s="3" t="s">
        <v>85</v>
      </c>
      <c r="B3" s="4"/>
      <c r="C3" s="17" t="s">
        <v>55</v>
      </c>
      <c r="D3" s="17" t="s">
        <v>56</v>
      </c>
      <c r="E3" s="17" t="s">
        <v>57</v>
      </c>
      <c r="F3" s="17" t="s">
        <v>58</v>
      </c>
      <c r="G3" s="17" t="s">
        <v>59</v>
      </c>
      <c r="H3" s="17" t="s">
        <v>60</v>
      </c>
      <c r="I3" s="17" t="s">
        <v>61</v>
      </c>
      <c r="J3" s="17" t="s">
        <v>62</v>
      </c>
      <c r="K3" s="17" t="s">
        <v>63</v>
      </c>
      <c r="L3" s="17" t="s">
        <v>64</v>
      </c>
      <c r="M3" s="17" t="s">
        <v>65</v>
      </c>
      <c r="N3" s="17" t="s">
        <v>66</v>
      </c>
    </row>
    <row r="4" spans="1:14" x14ac:dyDescent="0.2">
      <c r="A4" t="s">
        <v>86</v>
      </c>
      <c r="C4" s="20">
        <v>80000</v>
      </c>
      <c r="D4" s="20">
        <v>80000</v>
      </c>
      <c r="E4" s="20">
        <v>80000</v>
      </c>
      <c r="F4" s="20">
        <v>80000</v>
      </c>
      <c r="G4" s="20">
        <v>80000</v>
      </c>
      <c r="H4" s="20">
        <v>80000</v>
      </c>
      <c r="I4" s="20">
        <v>80000</v>
      </c>
      <c r="J4" s="20">
        <v>80000</v>
      </c>
      <c r="K4" s="20">
        <v>80000</v>
      </c>
      <c r="L4" s="20">
        <v>80000</v>
      </c>
      <c r="M4" s="20">
        <v>80000</v>
      </c>
      <c r="N4" s="20">
        <v>80000</v>
      </c>
    </row>
    <row r="5" spans="1:14" x14ac:dyDescent="0.2">
      <c r="A5" s="8" t="s">
        <v>87</v>
      </c>
      <c r="C5" s="21">
        <f>C4</f>
        <v>80000</v>
      </c>
      <c r="D5" s="21">
        <f t="shared" ref="D5:N5" si="0">D4</f>
        <v>80000</v>
      </c>
      <c r="E5" s="21">
        <f t="shared" si="0"/>
        <v>80000</v>
      </c>
      <c r="F5" s="21">
        <f t="shared" si="0"/>
        <v>80000</v>
      </c>
      <c r="G5" s="21">
        <f t="shared" si="0"/>
        <v>80000</v>
      </c>
      <c r="H5" s="21">
        <f t="shared" si="0"/>
        <v>80000</v>
      </c>
      <c r="I5" s="21">
        <f t="shared" si="0"/>
        <v>80000</v>
      </c>
      <c r="J5" s="21">
        <f t="shared" si="0"/>
        <v>80000</v>
      </c>
      <c r="K5" s="21">
        <f t="shared" si="0"/>
        <v>80000</v>
      </c>
      <c r="L5" s="21">
        <f t="shared" si="0"/>
        <v>80000</v>
      </c>
      <c r="M5" s="21">
        <f t="shared" si="0"/>
        <v>80000</v>
      </c>
      <c r="N5" s="21">
        <f t="shared" si="0"/>
        <v>80000</v>
      </c>
    </row>
    <row r="7" spans="1:14" x14ac:dyDescent="0.2">
      <c r="A7" s="3" t="s">
        <v>88</v>
      </c>
      <c r="B7" s="4"/>
      <c r="C7" s="17" t="s">
        <v>55</v>
      </c>
      <c r="D7" s="17" t="s">
        <v>56</v>
      </c>
      <c r="E7" s="17" t="s">
        <v>57</v>
      </c>
      <c r="F7" s="17" t="s">
        <v>58</v>
      </c>
      <c r="G7" s="17" t="s">
        <v>59</v>
      </c>
      <c r="H7" s="17" t="s">
        <v>60</v>
      </c>
      <c r="I7" s="17" t="s">
        <v>61</v>
      </c>
      <c r="J7" s="17" t="s">
        <v>62</v>
      </c>
      <c r="K7" s="17" t="s">
        <v>63</v>
      </c>
      <c r="L7" s="17" t="s">
        <v>64</v>
      </c>
      <c r="M7" s="17" t="s">
        <v>65</v>
      </c>
      <c r="N7" s="17" t="s">
        <v>66</v>
      </c>
    </row>
    <row r="8" spans="1:14" x14ac:dyDescent="0.2">
      <c r="A8" t="s">
        <v>89</v>
      </c>
      <c r="C8" s="20">
        <f>'Revenue Model'!C8*40</f>
        <v>160</v>
      </c>
      <c r="D8" s="20">
        <f>'Revenue Model'!D8*40</f>
        <v>400</v>
      </c>
      <c r="E8" s="20">
        <f>'Revenue Model'!E8*40</f>
        <v>760</v>
      </c>
      <c r="F8" s="20">
        <f>'Revenue Model'!F8*40</f>
        <v>1280</v>
      </c>
      <c r="G8" s="20">
        <f>'Revenue Model'!G8*40</f>
        <v>2080</v>
      </c>
      <c r="H8" s="20">
        <f>'Revenue Model'!H8*40</f>
        <v>3320</v>
      </c>
      <c r="I8" s="20">
        <f>'Revenue Model'!I8*40</f>
        <v>5240</v>
      </c>
      <c r="J8" s="20">
        <f>'Revenue Model'!J8*40</f>
        <v>8080</v>
      </c>
      <c r="K8" s="20">
        <f>'Revenue Model'!K8*40</f>
        <v>12440</v>
      </c>
      <c r="L8" s="20">
        <f>'Revenue Model'!L8*40</f>
        <v>19040</v>
      </c>
      <c r="M8" s="20">
        <f>'Revenue Model'!M8*40</f>
        <v>29080</v>
      </c>
      <c r="N8" s="20">
        <f>'Revenue Model'!N8*40</f>
        <v>44320</v>
      </c>
    </row>
    <row r="9" spans="1:14" x14ac:dyDescent="0.2">
      <c r="A9" t="s">
        <v>90</v>
      </c>
      <c r="C9" s="20">
        <f>'Revenue Model'!C8*8</f>
        <v>32</v>
      </c>
      <c r="D9" s="20">
        <f>'Revenue Model'!D8*8</f>
        <v>80</v>
      </c>
      <c r="E9" s="20">
        <f>'Revenue Model'!E8*8</f>
        <v>152</v>
      </c>
      <c r="F9" s="20">
        <f>'Revenue Model'!F8*8</f>
        <v>256</v>
      </c>
      <c r="G9" s="20">
        <f>'Revenue Model'!G8*8</f>
        <v>416</v>
      </c>
      <c r="H9" s="20">
        <f>'Revenue Model'!H8*8</f>
        <v>664</v>
      </c>
      <c r="I9" s="20">
        <f>'Revenue Model'!I8*8</f>
        <v>1048</v>
      </c>
      <c r="J9" s="20">
        <f>'Revenue Model'!J8*8</f>
        <v>1616</v>
      </c>
      <c r="K9" s="20">
        <f>'Revenue Model'!K8*8</f>
        <v>2488</v>
      </c>
      <c r="L9" s="20">
        <f>'Revenue Model'!L8*8</f>
        <v>3808</v>
      </c>
      <c r="M9" s="20">
        <f>'Revenue Model'!M8*8</f>
        <v>5816</v>
      </c>
      <c r="N9" s="20">
        <f>'Revenue Model'!N8*8</f>
        <v>8864</v>
      </c>
    </row>
    <row r="10" spans="1:14" x14ac:dyDescent="0.2">
      <c r="A10" t="s">
        <v>140</v>
      </c>
      <c r="C10" s="27">
        <f>'Revenue Model'!C9*0.75+'Revenue Model'!C10*2+'Revenue Model'!C11*5+'Revenue Model'!C4*2.5+ROUND('Revenue Model'!C8*0.15,0)*3</f>
        <v>21.5</v>
      </c>
      <c r="D10" s="27">
        <f>'Revenue Model'!D9*0.75+'Revenue Model'!D10*2+'Revenue Model'!D11*5+'Revenue Model'!D4*2.5+ROUND('Revenue Model'!D8*0.15,0)*3</f>
        <v>36.5</v>
      </c>
      <c r="E10" s="27">
        <f>'Revenue Model'!E9*0.75+'Revenue Model'!E10*2+'Revenue Model'!E11*5+'Revenue Model'!E4*2.5+ROUND('Revenue Model'!E8*0.15,0)*3</f>
        <v>64.75</v>
      </c>
      <c r="F10" s="27">
        <f>'Revenue Model'!F9*0.75+'Revenue Model'!F10*2+'Revenue Model'!F11*5+'Revenue Model'!F4*2.5+ROUND('Revenue Model'!F8*0.15,0)*3</f>
        <v>105.25</v>
      </c>
      <c r="G10" s="27">
        <f>'Revenue Model'!G9*0.75+'Revenue Model'!G10*2+'Revenue Model'!G11*5+'Revenue Model'!G4*2.5+ROUND('Revenue Model'!G8*0.15,0)*3</f>
        <v>165.75</v>
      </c>
      <c r="H10" s="27">
        <f>'Revenue Model'!H9*0.75+'Revenue Model'!H10*2+'Revenue Model'!H11*5+'Revenue Model'!H4*2.5+ROUND('Revenue Model'!H8*0.15,0)*3</f>
        <v>258</v>
      </c>
      <c r="I10" s="27">
        <f>'Revenue Model'!I9*0.75+'Revenue Model'!I10*2+'Revenue Model'!I11*5+'Revenue Model'!I4*2.5+ROUND('Revenue Model'!I8*0.15,0)*3</f>
        <v>405.25</v>
      </c>
      <c r="J10" s="27">
        <f>'Revenue Model'!J9*0.75+'Revenue Model'!J10*2+'Revenue Model'!J11*5+'Revenue Model'!J4*2.5+ROUND('Revenue Model'!J8*0.15,0)*3</f>
        <v>620.25</v>
      </c>
      <c r="K10" s="27">
        <f>'Revenue Model'!K9*0.75+'Revenue Model'!K10*2+'Revenue Model'!K11*5+'Revenue Model'!K4*2.5+ROUND('Revenue Model'!K8*0.15,0)*3</f>
        <v>954.75</v>
      </c>
      <c r="L10" s="27">
        <f>'Revenue Model'!L9*0.75+'Revenue Model'!L10*2+'Revenue Model'!L11*5+'Revenue Model'!L4*2.5+ROUND('Revenue Model'!L8*0.15,0)*3</f>
        <v>1455.5</v>
      </c>
      <c r="M10" s="27">
        <f>'Revenue Model'!M9*0.75+'Revenue Model'!M10*2+'Revenue Model'!M11*5+'Revenue Model'!M4*2.5+ROUND('Revenue Model'!M8*0.15,0)*3</f>
        <v>2225.5</v>
      </c>
      <c r="N10" s="27">
        <f>'Revenue Model'!N9*0.75+'Revenue Model'!N10*2+'Revenue Model'!N11*5+'Revenue Model'!N4*2.5+ROUND('Revenue Model'!N8*0.15,0)*3</f>
        <v>3388.25</v>
      </c>
    </row>
    <row r="11" spans="1:14" x14ac:dyDescent="0.2">
      <c r="A11" t="s">
        <v>141</v>
      </c>
      <c r="C11" s="27">
        <f>MIN(C10,86.6)</f>
        <v>21.5</v>
      </c>
      <c r="D11" s="27">
        <f t="shared" ref="D11:N11" si="1">MIN(D10,86.6)</f>
        <v>36.5</v>
      </c>
      <c r="E11" s="27">
        <f t="shared" si="1"/>
        <v>64.75</v>
      </c>
      <c r="F11" s="27">
        <f t="shared" si="1"/>
        <v>86.6</v>
      </c>
      <c r="G11" s="27">
        <f t="shared" si="1"/>
        <v>86.6</v>
      </c>
      <c r="H11" s="27">
        <f t="shared" si="1"/>
        <v>86.6</v>
      </c>
      <c r="I11" s="27">
        <f t="shared" si="1"/>
        <v>86.6</v>
      </c>
      <c r="J11" s="27">
        <f t="shared" si="1"/>
        <v>86.6</v>
      </c>
      <c r="K11" s="27">
        <f t="shared" si="1"/>
        <v>86.6</v>
      </c>
      <c r="L11" s="27">
        <f t="shared" si="1"/>
        <v>86.6</v>
      </c>
      <c r="M11" s="27">
        <f t="shared" si="1"/>
        <v>86.6</v>
      </c>
      <c r="N11" s="27">
        <f t="shared" si="1"/>
        <v>86.6</v>
      </c>
    </row>
    <row r="12" spans="1:14" x14ac:dyDescent="0.2">
      <c r="A12" t="s">
        <v>142</v>
      </c>
      <c r="C12" s="27">
        <f>MAX(C10-86.6,0)</f>
        <v>0</v>
      </c>
      <c r="D12" s="27">
        <f t="shared" ref="D12:N12" si="2">MAX(D10-86.6,0)</f>
        <v>0</v>
      </c>
      <c r="E12" s="27">
        <f t="shared" si="2"/>
        <v>0</v>
      </c>
      <c r="F12" s="27">
        <f t="shared" si="2"/>
        <v>18.650000000000006</v>
      </c>
      <c r="G12" s="27">
        <f t="shared" si="2"/>
        <v>79.150000000000006</v>
      </c>
      <c r="H12" s="27">
        <f t="shared" si="2"/>
        <v>171.4</v>
      </c>
      <c r="I12" s="27">
        <f t="shared" si="2"/>
        <v>318.64999999999998</v>
      </c>
      <c r="J12" s="27">
        <f t="shared" si="2"/>
        <v>533.65</v>
      </c>
      <c r="K12" s="27">
        <f t="shared" si="2"/>
        <v>868.15</v>
      </c>
      <c r="L12" s="27">
        <f t="shared" si="2"/>
        <v>1368.9</v>
      </c>
      <c r="M12" s="27">
        <f t="shared" si="2"/>
        <v>2138.9</v>
      </c>
      <c r="N12" s="27">
        <f t="shared" si="2"/>
        <v>3301.65</v>
      </c>
    </row>
    <row r="13" spans="1:14" x14ac:dyDescent="0.2">
      <c r="A13" t="s">
        <v>143</v>
      </c>
      <c r="C13" s="20">
        <f>C12*75</f>
        <v>0</v>
      </c>
      <c r="D13" s="20">
        <f t="shared" ref="D13:N13" si="3">D12*75</f>
        <v>0</v>
      </c>
      <c r="E13" s="20">
        <f t="shared" si="3"/>
        <v>0</v>
      </c>
      <c r="F13" s="20">
        <f t="shared" si="3"/>
        <v>1398.7500000000005</v>
      </c>
      <c r="G13" s="20">
        <f t="shared" si="3"/>
        <v>5936.25</v>
      </c>
      <c r="H13" s="20">
        <f t="shared" si="3"/>
        <v>12855</v>
      </c>
      <c r="I13" s="20">
        <f t="shared" si="3"/>
        <v>23898.75</v>
      </c>
      <c r="J13" s="20">
        <f t="shared" si="3"/>
        <v>40023.75</v>
      </c>
      <c r="K13" s="20">
        <f t="shared" si="3"/>
        <v>65111.25</v>
      </c>
      <c r="L13" s="20">
        <f t="shared" si="3"/>
        <v>102667.5</v>
      </c>
      <c r="M13" s="20">
        <f t="shared" si="3"/>
        <v>160417.5</v>
      </c>
      <c r="N13" s="20">
        <f t="shared" si="3"/>
        <v>247623.75</v>
      </c>
    </row>
    <row r="14" spans="1:14" x14ac:dyDescent="0.2">
      <c r="A14" t="s">
        <v>144</v>
      </c>
      <c r="C14" s="53">
        <f>IF(C12=0,0,CEILING(C12/216.5,1))</f>
        <v>0</v>
      </c>
      <c r="D14" s="53">
        <f t="shared" ref="D14:N14" si="4">IF(D12=0,0,CEILING(D12/216.5,1))</f>
        <v>0</v>
      </c>
      <c r="E14" s="53">
        <f t="shared" si="4"/>
        <v>0</v>
      </c>
      <c r="F14" s="53">
        <f t="shared" si="4"/>
        <v>1</v>
      </c>
      <c r="G14" s="53">
        <f t="shared" si="4"/>
        <v>1</v>
      </c>
      <c r="H14" s="53">
        <f t="shared" si="4"/>
        <v>1</v>
      </c>
      <c r="I14" s="53">
        <f t="shared" si="4"/>
        <v>2</v>
      </c>
      <c r="J14" s="53">
        <f t="shared" si="4"/>
        <v>3</v>
      </c>
      <c r="K14" s="53">
        <f t="shared" si="4"/>
        <v>5</v>
      </c>
      <c r="L14" s="53">
        <f t="shared" si="4"/>
        <v>7</v>
      </c>
      <c r="M14" s="53">
        <f t="shared" si="4"/>
        <v>10</v>
      </c>
      <c r="N14" s="53">
        <f t="shared" si="4"/>
        <v>16</v>
      </c>
    </row>
    <row r="16" spans="1:14" x14ac:dyDescent="0.2">
      <c r="A16" s="8" t="s">
        <v>91</v>
      </c>
      <c r="C16" s="21">
        <f>C8+C9+C13</f>
        <v>192</v>
      </c>
      <c r="D16" s="21">
        <f t="shared" ref="D16:N16" si="5">D8+D9+D13</f>
        <v>480</v>
      </c>
      <c r="E16" s="21">
        <f t="shared" si="5"/>
        <v>912</v>
      </c>
      <c r="F16" s="21">
        <f t="shared" si="5"/>
        <v>2934.7500000000005</v>
      </c>
      <c r="G16" s="21">
        <f t="shared" si="5"/>
        <v>8432.25</v>
      </c>
      <c r="H16" s="21">
        <f t="shared" si="5"/>
        <v>16839</v>
      </c>
      <c r="I16" s="21">
        <f t="shared" si="5"/>
        <v>30186.75</v>
      </c>
      <c r="J16" s="21">
        <f t="shared" si="5"/>
        <v>49719.75</v>
      </c>
      <c r="K16" s="21">
        <f t="shared" si="5"/>
        <v>80039.25</v>
      </c>
      <c r="L16" s="21">
        <f t="shared" si="5"/>
        <v>125515.5</v>
      </c>
      <c r="M16" s="21">
        <f t="shared" si="5"/>
        <v>195313.5</v>
      </c>
      <c r="N16" s="21">
        <f t="shared" si="5"/>
        <v>300807.75</v>
      </c>
    </row>
    <row r="17" spans="1:14" x14ac:dyDescent="0.2">
      <c r="A17" s="3" t="s">
        <v>92</v>
      </c>
      <c r="B17" s="3"/>
      <c r="C17" s="17" t="s">
        <v>55</v>
      </c>
      <c r="D17" s="17" t="s">
        <v>56</v>
      </c>
      <c r="E17" s="17" t="s">
        <v>57</v>
      </c>
      <c r="F17" s="17" t="s">
        <v>58</v>
      </c>
      <c r="G17" s="17" t="s">
        <v>59</v>
      </c>
      <c r="H17" s="17" t="s">
        <v>60</v>
      </c>
      <c r="I17" s="17" t="s">
        <v>61</v>
      </c>
      <c r="J17" s="17" t="s">
        <v>62</v>
      </c>
      <c r="K17" s="17" t="s">
        <v>63</v>
      </c>
      <c r="L17" s="17" t="s">
        <v>64</v>
      </c>
      <c r="M17" s="17" t="s">
        <v>65</v>
      </c>
      <c r="N17" s="17" t="s">
        <v>66</v>
      </c>
    </row>
    <row r="18" spans="1:14" x14ac:dyDescent="0.2">
      <c r="A18" t="s">
        <v>93</v>
      </c>
      <c r="B18" s="68"/>
      <c r="C18" s="20">
        <f>'Revenue Model'!C21*0.15</f>
        <v>1818.75</v>
      </c>
      <c r="D18" s="20">
        <f>'Revenue Model'!D21*0.15</f>
        <v>3063.75</v>
      </c>
      <c r="E18" s="20">
        <f>'Revenue Model'!E21*0.15</f>
        <v>5283.75</v>
      </c>
      <c r="F18" s="20">
        <f>'Revenue Model'!F21*0.15</f>
        <v>8497.5</v>
      </c>
      <c r="G18" s="20">
        <f>'Revenue Model'!G21*0.15</f>
        <v>13256.25</v>
      </c>
      <c r="H18" s="20">
        <f>'Revenue Model'!H21*0.15</f>
        <v>20835</v>
      </c>
      <c r="I18" s="20">
        <f>'Revenue Model'!I21*0.15</f>
        <v>32291.25</v>
      </c>
      <c r="J18" s="20">
        <f>'Revenue Model'!J21*0.15</f>
        <v>49312.5</v>
      </c>
      <c r="K18" s="20">
        <f>'Revenue Model'!K21*0.15</f>
        <v>75720</v>
      </c>
      <c r="L18" s="20">
        <f>'Revenue Model'!L21*0.15</f>
        <v>115391.25</v>
      </c>
      <c r="M18" s="20">
        <f>'Revenue Model'!M21*0.15</f>
        <v>176160</v>
      </c>
      <c r="N18" s="20">
        <f>'Revenue Model'!N21*0.15</f>
        <v>268151.25</v>
      </c>
    </row>
    <row r="19" spans="1:14" x14ac:dyDescent="0.2">
      <c r="B19" s="68"/>
    </row>
    <row r="20" spans="1:14" x14ac:dyDescent="0.2">
      <c r="A20" s="3" t="s">
        <v>94</v>
      </c>
      <c r="B20" s="3"/>
      <c r="C20" s="17" t="s">
        <v>55</v>
      </c>
      <c r="D20" s="17" t="s">
        <v>56</v>
      </c>
      <c r="E20" s="17" t="s">
        <v>57</v>
      </c>
      <c r="F20" s="17" t="s">
        <v>58</v>
      </c>
      <c r="G20" s="17" t="s">
        <v>59</v>
      </c>
      <c r="H20" s="17" t="s">
        <v>60</v>
      </c>
      <c r="I20" s="17" t="s">
        <v>61</v>
      </c>
      <c r="J20" s="17" t="s">
        <v>62</v>
      </c>
      <c r="K20" s="17" t="s">
        <v>63</v>
      </c>
      <c r="L20" s="17" t="s">
        <v>64</v>
      </c>
      <c r="M20" s="17" t="s">
        <v>65</v>
      </c>
      <c r="N20" s="17" t="s">
        <v>66</v>
      </c>
    </row>
    <row r="21" spans="1:14" x14ac:dyDescent="0.2">
      <c r="A21" s="19" t="s">
        <v>95</v>
      </c>
      <c r="B21" s="68"/>
      <c r="C21" s="21">
        <f>C5+C16+C18</f>
        <v>82010.75</v>
      </c>
      <c r="D21" s="21">
        <f>D5+D16+D18</f>
        <v>83543.75</v>
      </c>
      <c r="E21" s="21">
        <f t="shared" ref="E21:N21" si="6">E5+E16+E18</f>
        <v>86195.75</v>
      </c>
      <c r="F21" s="21">
        <f t="shared" si="6"/>
        <v>91432.25</v>
      </c>
      <c r="G21" s="21">
        <f t="shared" si="6"/>
        <v>101688.5</v>
      </c>
      <c r="H21" s="21">
        <f t="shared" si="6"/>
        <v>117674</v>
      </c>
      <c r="I21" s="21">
        <f t="shared" si="6"/>
        <v>142478</v>
      </c>
      <c r="J21" s="21">
        <f t="shared" si="6"/>
        <v>179032.25</v>
      </c>
      <c r="K21" s="21">
        <f t="shared" si="6"/>
        <v>235759.25</v>
      </c>
      <c r="L21" s="21">
        <f t="shared" si="6"/>
        <v>320906.75</v>
      </c>
      <c r="M21" s="21">
        <f t="shared" si="6"/>
        <v>451473.5</v>
      </c>
      <c r="N21" s="21">
        <f t="shared" si="6"/>
        <v>648959</v>
      </c>
    </row>
    <row r="22" spans="1:14" x14ac:dyDescent="0.2">
      <c r="A22" t="s">
        <v>96</v>
      </c>
      <c r="B22" s="68"/>
      <c r="C22" s="20">
        <f>C21</f>
        <v>82010.75</v>
      </c>
      <c r="D22" s="20">
        <f>C22+D21</f>
        <v>165554.5</v>
      </c>
      <c r="E22" s="20">
        <f t="shared" ref="E22:N22" si="7">D22+E21</f>
        <v>251750.25</v>
      </c>
      <c r="F22" s="20">
        <f t="shared" si="7"/>
        <v>343182.5</v>
      </c>
      <c r="G22" s="20">
        <f t="shared" si="7"/>
        <v>444871</v>
      </c>
      <c r="H22" s="20">
        <f t="shared" si="7"/>
        <v>562545</v>
      </c>
      <c r="I22" s="20">
        <f t="shared" si="7"/>
        <v>705023</v>
      </c>
      <c r="J22" s="20">
        <f t="shared" si="7"/>
        <v>884055.25</v>
      </c>
      <c r="K22" s="20">
        <f t="shared" si="7"/>
        <v>1119814.5</v>
      </c>
      <c r="L22" s="20">
        <f t="shared" si="7"/>
        <v>1440721.25</v>
      </c>
      <c r="M22" s="20">
        <f t="shared" si="7"/>
        <v>1892194.75</v>
      </c>
      <c r="N22" s="20">
        <f t="shared" si="7"/>
        <v>2541153.75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72FC-1D2E-B544-9B5A-957F7FB77E9F}">
  <dimension ref="A1:E24"/>
  <sheetViews>
    <sheetView workbookViewId="0">
      <selection activeCell="C16" sqref="C16"/>
    </sheetView>
  </sheetViews>
  <sheetFormatPr baseColWidth="10" defaultRowHeight="16" x14ac:dyDescent="0.2"/>
  <cols>
    <col min="1" max="1" width="41.6640625" customWidth="1"/>
    <col min="3" max="5" width="16.6640625" customWidth="1"/>
  </cols>
  <sheetData>
    <row r="1" spans="1:5" ht="19" x14ac:dyDescent="0.25">
      <c r="A1" s="1" t="s">
        <v>97</v>
      </c>
    </row>
    <row r="3" spans="1:5" x14ac:dyDescent="0.2">
      <c r="A3" s="3" t="s">
        <v>98</v>
      </c>
      <c r="B3" s="4"/>
      <c r="C3" s="17" t="s">
        <v>99</v>
      </c>
      <c r="D3" s="17" t="s">
        <v>100</v>
      </c>
      <c r="E3" s="17" t="s">
        <v>101</v>
      </c>
    </row>
    <row r="4" spans="1:5" x14ac:dyDescent="0.2">
      <c r="A4" s="8" t="s">
        <v>102</v>
      </c>
    </row>
    <row r="5" spans="1:5" x14ac:dyDescent="0.2">
      <c r="A5" t="s">
        <v>103</v>
      </c>
      <c r="C5" s="20">
        <v>500</v>
      </c>
      <c r="D5" s="20">
        <v>1000</v>
      </c>
      <c r="E5" s="20">
        <v>2000</v>
      </c>
    </row>
    <row r="6" spans="1:5" x14ac:dyDescent="0.2">
      <c r="A6" t="s">
        <v>104</v>
      </c>
      <c r="C6" s="23">
        <f>36.25</f>
        <v>36.25</v>
      </c>
      <c r="D6" s="23">
        <f>36.25</f>
        <v>36.25</v>
      </c>
      <c r="E6" s="23">
        <f>36.25</f>
        <v>36.25</v>
      </c>
    </row>
    <row r="7" spans="1:5" x14ac:dyDescent="0.2">
      <c r="A7" s="8" t="s">
        <v>105</v>
      </c>
      <c r="C7" s="24">
        <f>C5+C6</f>
        <v>536.25</v>
      </c>
      <c r="D7" s="24">
        <f>D5+D6</f>
        <v>1036.25</v>
      </c>
      <c r="E7" s="24">
        <f>E5+E6</f>
        <v>2036.25</v>
      </c>
    </row>
    <row r="9" spans="1:5" x14ac:dyDescent="0.2">
      <c r="A9" s="8" t="s">
        <v>106</v>
      </c>
    </row>
    <row r="10" spans="1:5" x14ac:dyDescent="0.2">
      <c r="A10" t="s">
        <v>107</v>
      </c>
      <c r="C10" s="20">
        <v>40</v>
      </c>
      <c r="D10" s="20">
        <v>40</v>
      </c>
      <c r="E10" s="20">
        <v>40</v>
      </c>
    </row>
    <row r="11" spans="1:5" x14ac:dyDescent="0.2">
      <c r="A11" s="8" t="s">
        <v>108</v>
      </c>
      <c r="C11" s="20">
        <v>8</v>
      </c>
      <c r="D11" s="20">
        <v>8</v>
      </c>
      <c r="E11" s="20">
        <v>8</v>
      </c>
    </row>
    <row r="12" spans="1:5" x14ac:dyDescent="0.2">
      <c r="A12" t="s">
        <v>145</v>
      </c>
      <c r="C12" s="23">
        <f>0.75*75</f>
        <v>56.25</v>
      </c>
      <c r="D12" s="23">
        <f>2*75</f>
        <v>150</v>
      </c>
      <c r="E12" s="23">
        <f>5*75</f>
        <v>375</v>
      </c>
    </row>
    <row r="13" spans="1:5" x14ac:dyDescent="0.2">
      <c r="A13" s="8" t="s">
        <v>146</v>
      </c>
      <c r="C13" s="23">
        <f>0.15*3*75</f>
        <v>33.75</v>
      </c>
      <c r="D13" s="23">
        <f>0.15*3*75</f>
        <v>33.75</v>
      </c>
      <c r="E13" s="23">
        <f>0.15*3*75</f>
        <v>33.75</v>
      </c>
    </row>
    <row r="14" spans="1:5" x14ac:dyDescent="0.2">
      <c r="A14" s="8" t="s">
        <v>147</v>
      </c>
      <c r="C14" s="24">
        <f>C10+C11+C12+C13</f>
        <v>138</v>
      </c>
      <c r="D14" s="24">
        <f>D10+D11+D12+D13</f>
        <v>231.75</v>
      </c>
      <c r="E14" s="24">
        <f>E10+E11+E12+E13</f>
        <v>456.75</v>
      </c>
    </row>
    <row r="15" spans="1:5" x14ac:dyDescent="0.2">
      <c r="A15" s="54" t="s">
        <v>148</v>
      </c>
      <c r="C15" s="55">
        <f>C10+C11</f>
        <v>48</v>
      </c>
      <c r="D15" s="55">
        <f>D10+D11</f>
        <v>48</v>
      </c>
      <c r="E15" s="55">
        <f>E10+E11</f>
        <v>48</v>
      </c>
    </row>
    <row r="16" spans="1:5" x14ac:dyDescent="0.2">
      <c r="A16" s="19" t="s">
        <v>149</v>
      </c>
      <c r="C16" s="25">
        <f>C7-C14</f>
        <v>398.25</v>
      </c>
      <c r="D16" s="25">
        <f>D7-D14</f>
        <v>804.5</v>
      </c>
      <c r="E16" s="25">
        <f>E7-E14</f>
        <v>1579.5</v>
      </c>
    </row>
    <row r="17" spans="1:5" x14ac:dyDescent="0.2">
      <c r="A17" s="8" t="s">
        <v>150</v>
      </c>
      <c r="C17" s="26">
        <f>C16/C7</f>
        <v>0.74265734265734262</v>
      </c>
      <c r="D17" s="26">
        <f>D16/D7</f>
        <v>0.77635705669481303</v>
      </c>
      <c r="E17" s="26">
        <f>E16/E7</f>
        <v>0.77569060773480658</v>
      </c>
    </row>
    <row r="19" spans="1:5" x14ac:dyDescent="0.2">
      <c r="A19" s="3" t="s">
        <v>109</v>
      </c>
      <c r="B19" s="4"/>
      <c r="C19" s="17" t="s">
        <v>99</v>
      </c>
      <c r="D19" s="17" t="s">
        <v>100</v>
      </c>
      <c r="E19" s="17" t="s">
        <v>101</v>
      </c>
    </row>
    <row r="20" spans="1:5" x14ac:dyDescent="0.2">
      <c r="A20" t="s">
        <v>110</v>
      </c>
      <c r="C20" s="27">
        <f>1/0.03</f>
        <v>33.333333333333336</v>
      </c>
      <c r="D20" s="27">
        <f>1/0.03</f>
        <v>33.333333333333336</v>
      </c>
      <c r="E20" s="27">
        <f>1/0.03</f>
        <v>33.333333333333336</v>
      </c>
    </row>
    <row r="21" spans="1:5" x14ac:dyDescent="0.2">
      <c r="A21" s="8" t="s">
        <v>111</v>
      </c>
      <c r="C21" s="22">
        <f>C7*C20</f>
        <v>17875</v>
      </c>
      <c r="D21" s="22">
        <f>D7*D20</f>
        <v>34541.666666666672</v>
      </c>
      <c r="E21" s="22">
        <f>E7*E20</f>
        <v>67875</v>
      </c>
    </row>
    <row r="22" spans="1:5" x14ac:dyDescent="0.2">
      <c r="A22" s="8" t="s">
        <v>112</v>
      </c>
      <c r="C22" s="21">
        <f>C16*C20</f>
        <v>13275.000000000002</v>
      </c>
      <c r="D22" s="21">
        <f>D16*D20</f>
        <v>26816.666666666668</v>
      </c>
      <c r="E22" s="21">
        <f>E16*E20</f>
        <v>52650.000000000007</v>
      </c>
    </row>
    <row r="23" spans="1:5" x14ac:dyDescent="0.2">
      <c r="A23" t="s">
        <v>113</v>
      </c>
      <c r="C23" s="20">
        <v>2000</v>
      </c>
      <c r="D23" s="20">
        <v>2000</v>
      </c>
      <c r="E23" s="20">
        <v>2000</v>
      </c>
    </row>
    <row r="24" spans="1:5" x14ac:dyDescent="0.2">
      <c r="A24" s="8" t="s">
        <v>114</v>
      </c>
      <c r="C24" s="22">
        <f>C22+C23</f>
        <v>15275.000000000002</v>
      </c>
      <c r="D24" s="22">
        <f>D22+D23</f>
        <v>28816.666666666668</v>
      </c>
      <c r="E24" s="22">
        <f>E22+E23</f>
        <v>54650.000000000007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49AD-F92E-934A-BCF1-3303371E0A3D}">
  <dimension ref="A1:O23"/>
  <sheetViews>
    <sheetView workbookViewId="0">
      <pane xSplit="2" topLeftCell="F1" activePane="topRight" state="frozen"/>
      <selection pane="topRight" activeCell="K27" sqref="K27"/>
    </sheetView>
  </sheetViews>
  <sheetFormatPr baseColWidth="10" defaultRowHeight="16" x14ac:dyDescent="0.2"/>
  <cols>
    <col min="1" max="1" width="36.6640625" customWidth="1"/>
    <col min="3" max="14" width="14.1640625" customWidth="1"/>
    <col min="15" max="15" width="15.83203125" customWidth="1"/>
  </cols>
  <sheetData>
    <row r="1" spans="1:15" ht="19" x14ac:dyDescent="0.25">
      <c r="A1" s="1" t="s">
        <v>115</v>
      </c>
    </row>
    <row r="3" spans="1:15" x14ac:dyDescent="0.2">
      <c r="A3" s="3"/>
      <c r="B3" s="4"/>
      <c r="C3" s="17" t="s">
        <v>55</v>
      </c>
      <c r="D3" s="17" t="s">
        <v>56</v>
      </c>
      <c r="E3" s="17" t="s">
        <v>57</v>
      </c>
      <c r="F3" s="17" t="s">
        <v>58</v>
      </c>
      <c r="G3" s="17" t="s">
        <v>59</v>
      </c>
      <c r="H3" s="17" t="s">
        <v>60</v>
      </c>
      <c r="I3" s="17" t="s">
        <v>61</v>
      </c>
      <c r="J3" s="17" t="s">
        <v>62</v>
      </c>
      <c r="K3" s="17" t="s">
        <v>63</v>
      </c>
      <c r="L3" s="17" t="s">
        <v>64</v>
      </c>
      <c r="M3" s="17" t="s">
        <v>65</v>
      </c>
      <c r="N3" s="17" t="s">
        <v>66</v>
      </c>
      <c r="O3" s="17" t="s">
        <v>133</v>
      </c>
    </row>
    <row r="4" spans="1:15" x14ac:dyDescent="0.2">
      <c r="A4" s="35" t="s">
        <v>116</v>
      </c>
      <c r="B4" s="36"/>
      <c r="C4" s="38">
        <f>'Revenue Model'!C21</f>
        <v>12125</v>
      </c>
      <c r="D4" s="38">
        <f>'Revenue Model'!D21</f>
        <v>20425</v>
      </c>
      <c r="E4" s="38">
        <f>'Revenue Model'!E21</f>
        <v>35225</v>
      </c>
      <c r="F4" s="38">
        <f>'Revenue Model'!F21</f>
        <v>56650</v>
      </c>
      <c r="G4" s="38">
        <f>'Revenue Model'!G21</f>
        <v>88375</v>
      </c>
      <c r="H4" s="38">
        <f>'Revenue Model'!H21</f>
        <v>138900</v>
      </c>
      <c r="I4" s="38">
        <f>'Revenue Model'!I21</f>
        <v>215275</v>
      </c>
      <c r="J4" s="38">
        <f>'Revenue Model'!J21</f>
        <v>328750</v>
      </c>
      <c r="K4" s="38">
        <f>'Revenue Model'!K21</f>
        <v>504800</v>
      </c>
      <c r="L4" s="38">
        <f>'Revenue Model'!L21</f>
        <v>769275</v>
      </c>
      <c r="M4" s="38">
        <f>'Revenue Model'!M21</f>
        <v>1174400</v>
      </c>
      <c r="N4" s="38">
        <f>'Revenue Model'!N21</f>
        <v>1787675</v>
      </c>
      <c r="O4" s="39">
        <f>SUM(C4:N4)</f>
        <v>5131875</v>
      </c>
    </row>
    <row r="5" spans="1:15" x14ac:dyDescent="0.2">
      <c r="A5" t="s">
        <v>117</v>
      </c>
      <c r="C5" s="20">
        <f>'Revenue Model'!C17</f>
        <v>4000</v>
      </c>
      <c r="D5" s="20">
        <f>'Revenue Model'!D17</f>
        <v>8000</v>
      </c>
      <c r="E5" s="20">
        <f>'Revenue Model'!E17</f>
        <v>16500</v>
      </c>
      <c r="F5" s="20">
        <f>'Revenue Model'!F17</f>
        <v>27500</v>
      </c>
      <c r="G5" s="20">
        <f>'Revenue Model'!G17</f>
        <v>44500</v>
      </c>
      <c r="H5" s="20">
        <f>'Revenue Model'!H17</f>
        <v>70000</v>
      </c>
      <c r="I5" s="20">
        <f>'Revenue Model'!I17</f>
        <v>110500</v>
      </c>
      <c r="J5" s="20">
        <f>'Revenue Model'!J17</f>
        <v>171500</v>
      </c>
      <c r="K5" s="20">
        <f>'Revenue Model'!K17</f>
        <v>263500</v>
      </c>
      <c r="L5" s="20">
        <f>'Revenue Model'!L17</f>
        <v>404000</v>
      </c>
      <c r="M5" s="20">
        <f>'Revenue Model'!M17</f>
        <v>618000</v>
      </c>
      <c r="N5" s="20">
        <f>'Revenue Model'!N17</f>
        <v>941500</v>
      </c>
      <c r="O5" s="33">
        <f>SUM(C5:N5)</f>
        <v>2679500</v>
      </c>
    </row>
    <row r="6" spans="1:15" x14ac:dyDescent="0.2">
      <c r="A6" t="s">
        <v>118</v>
      </c>
      <c r="C6" s="20">
        <f>'Revenue Model'!C18</f>
        <v>8000</v>
      </c>
      <c r="D6" s="20">
        <f>'Revenue Model'!D18</f>
        <v>12000</v>
      </c>
      <c r="E6" s="20">
        <f>'Revenue Model'!E18</f>
        <v>18000</v>
      </c>
      <c r="F6" s="20">
        <f>'Revenue Model'!F18</f>
        <v>28000</v>
      </c>
      <c r="G6" s="20">
        <f>'Revenue Model'!G18</f>
        <v>42000</v>
      </c>
      <c r="H6" s="20">
        <f>'Revenue Model'!H18</f>
        <v>66000</v>
      </c>
      <c r="I6" s="20">
        <f>'Revenue Model'!I18</f>
        <v>100000</v>
      </c>
      <c r="J6" s="20">
        <f>'Revenue Model'!J18</f>
        <v>150000</v>
      </c>
      <c r="K6" s="20">
        <f>'Revenue Model'!K18</f>
        <v>230000</v>
      </c>
      <c r="L6" s="20">
        <f>'Revenue Model'!L18</f>
        <v>348000</v>
      </c>
      <c r="M6" s="20">
        <f>'Revenue Model'!M18</f>
        <v>530000</v>
      </c>
      <c r="N6" s="20">
        <f>'Revenue Model'!N18</f>
        <v>806000</v>
      </c>
      <c r="O6" s="33">
        <f>SUM(C6:N6)</f>
        <v>2338000</v>
      </c>
    </row>
    <row r="7" spans="1:15" x14ac:dyDescent="0.2">
      <c r="A7" t="s">
        <v>119</v>
      </c>
      <c r="C7" s="20">
        <f>'Revenue Model'!C19</f>
        <v>125</v>
      </c>
      <c r="D7" s="20">
        <f>'Revenue Model'!D19</f>
        <v>250</v>
      </c>
      <c r="E7" s="20">
        <f>'Revenue Model'!E19</f>
        <v>375</v>
      </c>
      <c r="F7" s="20">
        <f>'Revenue Model'!F19</f>
        <v>625</v>
      </c>
      <c r="G7" s="20">
        <f>'Revenue Model'!G19</f>
        <v>1000</v>
      </c>
      <c r="H7" s="20">
        <f>'Revenue Model'!H19</f>
        <v>1500</v>
      </c>
      <c r="I7" s="20">
        <f>'Revenue Model'!I19</f>
        <v>2500</v>
      </c>
      <c r="J7" s="20">
        <f>'Revenue Model'!J19</f>
        <v>3750</v>
      </c>
      <c r="K7" s="20">
        <f>'Revenue Model'!K19</f>
        <v>5875</v>
      </c>
      <c r="L7" s="20">
        <f>'Revenue Model'!L19</f>
        <v>8875</v>
      </c>
      <c r="M7" s="20">
        <f>'Revenue Model'!M19</f>
        <v>13625</v>
      </c>
      <c r="N7" s="20">
        <f>'Revenue Model'!N19</f>
        <v>20750</v>
      </c>
      <c r="O7" s="33">
        <f>SUM(C7:N7)</f>
        <v>59250</v>
      </c>
    </row>
    <row r="8" spans="1:15" x14ac:dyDescent="0.2">
      <c r="A8" t="s">
        <v>120</v>
      </c>
      <c r="C8" s="20">
        <f>'Revenue Model'!C20</f>
        <v>0</v>
      </c>
      <c r="D8" s="20">
        <f>'Revenue Model'!D20</f>
        <v>175</v>
      </c>
      <c r="E8" s="20">
        <f>'Revenue Model'!E20</f>
        <v>350</v>
      </c>
      <c r="F8" s="20">
        <f>'Revenue Model'!F20</f>
        <v>525</v>
      </c>
      <c r="G8" s="20">
        <f>'Revenue Model'!G20</f>
        <v>875</v>
      </c>
      <c r="H8" s="20">
        <f>'Revenue Model'!H20</f>
        <v>1400</v>
      </c>
      <c r="I8" s="20">
        <f>'Revenue Model'!I20</f>
        <v>2275</v>
      </c>
      <c r="J8" s="20">
        <f>'Revenue Model'!J20</f>
        <v>3500</v>
      </c>
      <c r="K8" s="20">
        <f>'Revenue Model'!K20</f>
        <v>5425</v>
      </c>
      <c r="L8" s="20">
        <f>'Revenue Model'!L20</f>
        <v>8400</v>
      </c>
      <c r="M8" s="20">
        <f>'Revenue Model'!M20</f>
        <v>12775</v>
      </c>
      <c r="N8" s="20">
        <f>'Revenue Model'!N20</f>
        <v>19425</v>
      </c>
      <c r="O8" s="33">
        <f>SUM(C8:N8)</f>
        <v>55125</v>
      </c>
    </row>
    <row r="9" spans="1:15" x14ac:dyDescent="0.2">
      <c r="O9" s="31"/>
    </row>
    <row r="10" spans="1:15" x14ac:dyDescent="0.2">
      <c r="A10" s="35" t="s">
        <v>121</v>
      </c>
      <c r="B10" s="36"/>
      <c r="C10" s="38">
        <f>'Cost Structure'!C21</f>
        <v>82010.75</v>
      </c>
      <c r="D10" s="38">
        <f>'Cost Structure'!D21</f>
        <v>83543.75</v>
      </c>
      <c r="E10" s="38">
        <f>'Cost Structure'!E21</f>
        <v>86195.75</v>
      </c>
      <c r="F10" s="38">
        <f>'Cost Structure'!F21</f>
        <v>91432.25</v>
      </c>
      <c r="G10" s="38">
        <f>'Cost Structure'!G21</f>
        <v>101688.5</v>
      </c>
      <c r="H10" s="38">
        <f>'Cost Structure'!H21</f>
        <v>117674</v>
      </c>
      <c r="I10" s="38">
        <f>'Cost Structure'!I21</f>
        <v>142478</v>
      </c>
      <c r="J10" s="38">
        <f>'Cost Structure'!J21</f>
        <v>179032.25</v>
      </c>
      <c r="K10" s="38">
        <f>'Cost Structure'!K21</f>
        <v>235759.25</v>
      </c>
      <c r="L10" s="38">
        <f>'Cost Structure'!L21</f>
        <v>320906.75</v>
      </c>
      <c r="M10" s="38">
        <f>'Cost Structure'!M21</f>
        <v>451473.5</v>
      </c>
      <c r="N10" s="38">
        <f>'Cost Structure'!N21</f>
        <v>648959</v>
      </c>
      <c r="O10" s="39">
        <f>SUM(C10:N10)</f>
        <v>2541153.75</v>
      </c>
    </row>
    <row r="11" spans="1:15" x14ac:dyDescent="0.2">
      <c r="A11" t="s">
        <v>122</v>
      </c>
      <c r="C11" s="20">
        <f>'Cost Structure'!C5</f>
        <v>80000</v>
      </c>
      <c r="D11" s="20">
        <f>'Cost Structure'!D5</f>
        <v>80000</v>
      </c>
      <c r="E11" s="20">
        <f>'Cost Structure'!E5</f>
        <v>80000</v>
      </c>
      <c r="F11" s="20">
        <f>'Cost Structure'!F5</f>
        <v>80000</v>
      </c>
      <c r="G11" s="20">
        <f>'Cost Structure'!G5</f>
        <v>80000</v>
      </c>
      <c r="H11" s="20">
        <f>'Cost Structure'!H5</f>
        <v>80000</v>
      </c>
      <c r="I11" s="20">
        <f>'Cost Structure'!I5</f>
        <v>80000</v>
      </c>
      <c r="J11" s="20">
        <f>'Cost Structure'!J5</f>
        <v>80000</v>
      </c>
      <c r="K11" s="20">
        <f>'Cost Structure'!K5</f>
        <v>80000</v>
      </c>
      <c r="L11" s="20">
        <f>'Cost Structure'!L5</f>
        <v>80000</v>
      </c>
      <c r="M11" s="20">
        <f>'Cost Structure'!M5</f>
        <v>80000</v>
      </c>
      <c r="N11" s="20">
        <f>'Cost Structure'!N5</f>
        <v>80000</v>
      </c>
      <c r="O11" s="33">
        <f>SUM(C11:N11)</f>
        <v>960000</v>
      </c>
    </row>
    <row r="12" spans="1:15" x14ac:dyDescent="0.2">
      <c r="A12" t="s">
        <v>123</v>
      </c>
      <c r="C12" s="20">
        <f>'Cost Structure'!C16</f>
        <v>192</v>
      </c>
      <c r="D12" s="20">
        <f>'Cost Structure'!D16</f>
        <v>480</v>
      </c>
      <c r="E12" s="20">
        <f>'Cost Structure'!E16</f>
        <v>912</v>
      </c>
      <c r="F12" s="20">
        <f>'Cost Structure'!F16</f>
        <v>2934.7500000000005</v>
      </c>
      <c r="G12" s="20">
        <f>'Cost Structure'!G16</f>
        <v>8432.25</v>
      </c>
      <c r="H12" s="20">
        <f>'Cost Structure'!H16</f>
        <v>16839</v>
      </c>
      <c r="I12" s="20">
        <f>'Cost Structure'!I16</f>
        <v>30186.75</v>
      </c>
      <c r="J12" s="20">
        <f>'Cost Structure'!J16</f>
        <v>49719.75</v>
      </c>
      <c r="K12" s="20">
        <f>'Cost Structure'!K16</f>
        <v>80039.25</v>
      </c>
      <c r="L12" s="20">
        <f>'Cost Structure'!L16</f>
        <v>125515.5</v>
      </c>
      <c r="M12" s="20">
        <f>'Cost Structure'!M16</f>
        <v>195313.5</v>
      </c>
      <c r="N12" s="20">
        <f>'Cost Structure'!N16</f>
        <v>300807.75</v>
      </c>
      <c r="O12" s="33">
        <f>SUM(C12:N12)</f>
        <v>811372.5</v>
      </c>
    </row>
    <row r="13" spans="1:15" x14ac:dyDescent="0.2">
      <c r="A13" t="s">
        <v>124</v>
      </c>
      <c r="C13" s="20">
        <f>'Cost Structure'!C18</f>
        <v>1818.75</v>
      </c>
      <c r="D13" s="20">
        <f>'Cost Structure'!D18</f>
        <v>3063.75</v>
      </c>
      <c r="E13" s="20">
        <f>'Cost Structure'!E18</f>
        <v>5283.75</v>
      </c>
      <c r="F13" s="20">
        <f>'Cost Structure'!F18</f>
        <v>8497.5</v>
      </c>
      <c r="G13" s="20">
        <f>'Cost Structure'!G18</f>
        <v>13256.25</v>
      </c>
      <c r="H13" s="20">
        <f>'Cost Structure'!H18</f>
        <v>20835</v>
      </c>
      <c r="I13" s="20">
        <f>'Cost Structure'!I18</f>
        <v>32291.25</v>
      </c>
      <c r="J13" s="20">
        <f>'Cost Structure'!J18</f>
        <v>49312.5</v>
      </c>
      <c r="K13" s="20">
        <f>'Cost Structure'!K18</f>
        <v>75720</v>
      </c>
      <c r="L13" s="20">
        <f>'Cost Structure'!L18</f>
        <v>115391.25</v>
      </c>
      <c r="M13" s="20">
        <f>'Cost Structure'!M18</f>
        <v>176160</v>
      </c>
      <c r="N13" s="20">
        <f>'Cost Structure'!N18</f>
        <v>268151.25</v>
      </c>
      <c r="O13" s="33">
        <f>SUM(C13:N13)</f>
        <v>769781.25</v>
      </c>
    </row>
    <row r="14" spans="1:15" x14ac:dyDescent="0.2">
      <c r="O14" s="31"/>
    </row>
    <row r="15" spans="1:15" ht="17" thickBot="1" x14ac:dyDescent="0.25">
      <c r="A15" s="44" t="s">
        <v>125</v>
      </c>
      <c r="B15" s="45"/>
      <c r="C15" s="47">
        <f>C4-C10</f>
        <v>-69885.75</v>
      </c>
      <c r="D15" s="47">
        <f>D4-D10</f>
        <v>-63118.75</v>
      </c>
      <c r="E15" s="47">
        <f>E4-E10</f>
        <v>-50970.75</v>
      </c>
      <c r="F15" s="47">
        <f>F4-F10</f>
        <v>-34782.25</v>
      </c>
      <c r="G15" s="47">
        <f>G4-G10</f>
        <v>-13313.5</v>
      </c>
      <c r="H15" s="47">
        <f>H4-H10</f>
        <v>21226</v>
      </c>
      <c r="I15" s="47">
        <f>I4-I10</f>
        <v>72797</v>
      </c>
      <c r="J15" s="47">
        <f>J4-J10</f>
        <v>149717.75</v>
      </c>
      <c r="K15" s="47">
        <f>K4-K10</f>
        <v>269040.75</v>
      </c>
      <c r="L15" s="47">
        <f>L4-L10</f>
        <v>448368.25</v>
      </c>
      <c r="M15" s="47">
        <f>M4-M10</f>
        <v>722926.5</v>
      </c>
      <c r="N15" s="47">
        <f>N4-N10</f>
        <v>1138716</v>
      </c>
      <c r="O15" s="48">
        <f>SUM(C15:N15)</f>
        <v>2590721.25</v>
      </c>
    </row>
    <row r="16" spans="1:15" ht="17" thickTop="1" x14ac:dyDescent="0.2">
      <c r="A16" s="8" t="s">
        <v>126</v>
      </c>
      <c r="C16" s="26">
        <f>IF(C4=0,0,C15/C4)</f>
        <v>-5.763773195876289</v>
      </c>
      <c r="D16" s="26">
        <f>IF(D4=0,0,D15/D4)</f>
        <v>-3.0902692778457772</v>
      </c>
      <c r="E16" s="26">
        <f>IF(E4=0,0,E15/E4)</f>
        <v>-1.4470049680624557</v>
      </c>
      <c r="F16" s="26">
        <f>IF(F4=0,0,F15/F4)</f>
        <v>-0.61398499558693731</v>
      </c>
      <c r="G16" s="26">
        <f>IF(G4=0,0,G15/G4)</f>
        <v>-0.15064780763790664</v>
      </c>
      <c r="H16" s="26">
        <f>IF(H4=0,0,H15/H4)</f>
        <v>0.15281497480201583</v>
      </c>
      <c r="I16" s="26">
        <f>IF(I4=0,0,I15/I4)</f>
        <v>0.33815816978283592</v>
      </c>
      <c r="J16" s="26">
        <f>IF(J4=0,0,J15/J4)</f>
        <v>0.45541520912547528</v>
      </c>
      <c r="K16" s="26">
        <f>IF(K4=0,0,K15/K4)</f>
        <v>0.53296503565768616</v>
      </c>
      <c r="L16" s="26">
        <f>IF(L4=0,0,L15/L4)</f>
        <v>0.58284521140034451</v>
      </c>
      <c r="M16" s="26">
        <f>IF(M4=0,0,M15/M4)</f>
        <v>0.61557092983651229</v>
      </c>
      <c r="N16" s="26">
        <f>IF(N4=0,0,N15/N4)</f>
        <v>0.63698155425342973</v>
      </c>
      <c r="O16" s="34">
        <f>IF(O4=0,0,O15/O4)</f>
        <v>0.50482937522835225</v>
      </c>
    </row>
    <row r="18" spans="1:14" x14ac:dyDescent="0.2">
      <c r="A18" s="3" t="s">
        <v>127</v>
      </c>
      <c r="B18" s="4"/>
      <c r="C18" s="17" t="s">
        <v>55</v>
      </c>
      <c r="D18" s="17" t="s">
        <v>56</v>
      </c>
      <c r="E18" s="17" t="s">
        <v>57</v>
      </c>
      <c r="F18" s="17" t="s">
        <v>58</v>
      </c>
      <c r="G18" s="17" t="s">
        <v>59</v>
      </c>
      <c r="H18" s="17" t="s">
        <v>60</v>
      </c>
      <c r="I18" s="17" t="s">
        <v>61</v>
      </c>
      <c r="J18" s="17" t="s">
        <v>62</v>
      </c>
      <c r="K18" s="17" t="s">
        <v>63</v>
      </c>
      <c r="L18" s="17" t="s">
        <v>64</v>
      </c>
      <c r="M18" s="17" t="s">
        <v>65</v>
      </c>
      <c r="N18" s="17" t="s">
        <v>66</v>
      </c>
    </row>
    <row r="19" spans="1:14" x14ac:dyDescent="0.2">
      <c r="A19" t="s">
        <v>128</v>
      </c>
      <c r="C19" s="28">
        <f>C15</f>
        <v>-69885.75</v>
      </c>
      <c r="D19" s="28">
        <f>C19+D15</f>
        <v>-133004.5</v>
      </c>
      <c r="E19" s="28">
        <f>D19+E15</f>
        <v>-183975.25</v>
      </c>
      <c r="F19" s="28">
        <f>E19+F15</f>
        <v>-218757.5</v>
      </c>
      <c r="G19" s="28">
        <f>F19+G15</f>
        <v>-232071</v>
      </c>
      <c r="H19" s="28">
        <f>G19+H15</f>
        <v>-210845</v>
      </c>
      <c r="I19" s="28">
        <f>H19+I15</f>
        <v>-138048</v>
      </c>
      <c r="J19" s="28">
        <f>I19+J15</f>
        <v>11669.75</v>
      </c>
      <c r="K19" s="28">
        <f>J19+K15</f>
        <v>280710.5</v>
      </c>
      <c r="L19" s="28">
        <f>K19+L15</f>
        <v>729078.75</v>
      </c>
      <c r="M19" s="28">
        <f>L19+M15</f>
        <v>1452005.25</v>
      </c>
      <c r="N19" s="28">
        <f>M19+N15</f>
        <v>2590721.25</v>
      </c>
    </row>
    <row r="20" spans="1:14" x14ac:dyDescent="0.2">
      <c r="A20" t="s">
        <v>129</v>
      </c>
      <c r="C20" s="29">
        <f>'Revenue Model'!C8</f>
        <v>4</v>
      </c>
      <c r="D20" s="29">
        <f>'Revenue Model'!D8</f>
        <v>10</v>
      </c>
      <c r="E20" s="29">
        <f>'Revenue Model'!E8</f>
        <v>19</v>
      </c>
      <c r="F20" s="29">
        <f>'Revenue Model'!F8</f>
        <v>32</v>
      </c>
      <c r="G20" s="29">
        <f>'Revenue Model'!G8</f>
        <v>52</v>
      </c>
      <c r="H20" s="29">
        <f>'Revenue Model'!H8</f>
        <v>83</v>
      </c>
      <c r="I20" s="29">
        <f>'Revenue Model'!I8</f>
        <v>131</v>
      </c>
      <c r="J20" s="29">
        <f>'Revenue Model'!J8</f>
        <v>202</v>
      </c>
      <c r="K20" s="29">
        <f>'Revenue Model'!K8</f>
        <v>311</v>
      </c>
      <c r="L20" s="29">
        <f>'Revenue Model'!L8</f>
        <v>476</v>
      </c>
      <c r="M20" s="29">
        <f>'Revenue Model'!M8</f>
        <v>727</v>
      </c>
      <c r="N20" s="29">
        <f>'Revenue Model'!N8</f>
        <v>1108</v>
      </c>
    </row>
    <row r="21" spans="1:14" x14ac:dyDescent="0.2">
      <c r="A21" t="s">
        <v>130</v>
      </c>
      <c r="C21" s="21">
        <f>C5*12</f>
        <v>48000</v>
      </c>
      <c r="D21" s="21">
        <f>D5*12</f>
        <v>96000</v>
      </c>
      <c r="E21" s="21">
        <f>E5*12</f>
        <v>198000</v>
      </c>
      <c r="F21" s="21">
        <f>F5*12</f>
        <v>330000</v>
      </c>
      <c r="G21" s="21">
        <f>G5*12</f>
        <v>534000</v>
      </c>
      <c r="H21" s="21">
        <f>H5*12</f>
        <v>840000</v>
      </c>
      <c r="I21" s="21">
        <f>I5*12</f>
        <v>1326000</v>
      </c>
      <c r="J21" s="21">
        <f>J5*12</f>
        <v>2058000</v>
      </c>
      <c r="K21" s="21">
        <f>K5*12</f>
        <v>3162000</v>
      </c>
      <c r="L21" s="21">
        <f>L5*12</f>
        <v>4848000</v>
      </c>
      <c r="M21" s="21">
        <f>M5*12</f>
        <v>7416000</v>
      </c>
      <c r="N21" s="22">
        <f>N5*12</f>
        <v>11298000</v>
      </c>
    </row>
    <row r="22" spans="1:14" x14ac:dyDescent="0.2">
      <c r="A22" t="s">
        <v>131</v>
      </c>
      <c r="C22" s="20">
        <f>C4</f>
        <v>12125</v>
      </c>
      <c r="D22" s="20">
        <f>C22+D4</f>
        <v>32550</v>
      </c>
      <c r="E22" s="20">
        <f>D22+E4</f>
        <v>67775</v>
      </c>
      <c r="F22" s="20">
        <f>E22+F4</f>
        <v>124425</v>
      </c>
      <c r="G22" s="20">
        <f>F22+G4</f>
        <v>212800</v>
      </c>
      <c r="H22" s="20">
        <f>G22+H4</f>
        <v>351700</v>
      </c>
      <c r="I22" s="20">
        <f>H22+I4</f>
        <v>566975</v>
      </c>
      <c r="J22" s="20">
        <f>I22+J4</f>
        <v>895725</v>
      </c>
      <c r="K22" s="20">
        <f>J22+K4</f>
        <v>1400525</v>
      </c>
      <c r="L22" s="20">
        <f>K22+L4</f>
        <v>2169800</v>
      </c>
      <c r="M22" s="20">
        <f>L22+M4</f>
        <v>3344200</v>
      </c>
      <c r="N22" s="20">
        <f>M22+N4</f>
        <v>5131875</v>
      </c>
    </row>
    <row r="23" spans="1:14" x14ac:dyDescent="0.2">
      <c r="A23" t="s">
        <v>132</v>
      </c>
      <c r="C23" s="56" t="s">
        <v>163</v>
      </c>
    </row>
  </sheetData>
  <conditionalFormatting sqref="C15:N15">
    <cfRule type="cellIs" dxfId="3" priority="1" operator="lessThan">
      <formula>0</formula>
    </cfRule>
  </conditionalFormatting>
  <conditionalFormatting sqref="C15:N15">
    <cfRule type="cellIs" dxfId="2" priority="2" operator="greaterThanOrEqual">
      <formula>0</formula>
    </cfRule>
  </conditionalFormatting>
  <conditionalFormatting sqref="C19:N19">
    <cfRule type="cellIs" dxfId="1" priority="3" operator="lessThan">
      <formula>0</formula>
    </cfRule>
  </conditionalFormatting>
  <conditionalFormatting sqref="C19:N19">
    <cfRule type="cellIs" dxfId="0" priority="4" operator="greaterThanOr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Revenue Model</vt:lpstr>
      <vt:lpstr>Cost Structure</vt:lpstr>
      <vt:lpstr>Unit Economics</vt:lpstr>
      <vt:lpstr>P&amp;L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Barak Ben Noon</cp:lastModifiedBy>
  <dcterms:created xsi:type="dcterms:W3CDTF">2018-06-07T17:34:22Z</dcterms:created>
  <dcterms:modified xsi:type="dcterms:W3CDTF">2026-02-24T17:33:26Z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